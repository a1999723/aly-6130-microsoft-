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bb6d165515f4a5/neu masters/6130/"/>
    </mc:Choice>
  </mc:AlternateContent>
  <xr:revisionPtr revIDLastSave="1" documentId="8_{41D785A8-4138-4541-9556-76F75D618690}" xr6:coauthVersionLast="47" xr6:coauthVersionMax="47" xr10:uidLastSave="{142209E0-E637-45E3-A3C4-3D2E43BFE7FF}"/>
  <bookViews>
    <workbookView xWindow="10725" yWindow="3105" windowWidth="24525" windowHeight="15345" xr2:uid="{00000000-000D-0000-FFFF-FFFF00000000}"/>
  </bookViews>
  <sheets>
    <sheet name="Risk Register" sheetId="1" r:id="rId1"/>
    <sheet name="Scoring Guide" sheetId="2" r:id="rId2"/>
  </sheets>
  <definedNames>
    <definedName name="_xlnm._FilterDatabase" localSheetId="0" hidden="1">'Risk Register'!$A$1:$F$41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41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Formula classifies risk level from Impact only, using user-provided thresholds. Exact scores of 3 or 5 return "Review".</t>
        </r>
      </text>
    </comment>
  </commentList>
</comments>
</file>

<file path=xl/sharedStrings.xml><?xml version="1.0" encoding="utf-8"?>
<sst xmlns="http://schemas.openxmlformats.org/spreadsheetml/2006/main" count="114" uniqueCount="70">
  <si>
    <t>No.</t>
  </si>
  <si>
    <t>Main Risk Area</t>
  </si>
  <si>
    <t>Likelihood Score (1–15)</t>
  </si>
  <si>
    <t>Risk Level</t>
  </si>
  <si>
    <t>Notes</t>
  </si>
  <si>
    <t>Loss of Cybersecurity Market Share</t>
  </si>
  <si>
    <t>Could specialized competitors offer more innovative cybersecurity tools than the company?</t>
  </si>
  <si>
    <t>Could the company lose customers because its security solutions are too broad and not specialized enough?</t>
  </si>
  <si>
    <t>Could aggressive competitor pricing reduce the company’s customer base?</t>
  </si>
  <si>
    <t>Could slower product updates weaken the company’s position in the market?</t>
  </si>
  <si>
    <t>Could niche competitors attract enterprise clients with better tailored services?</t>
  </si>
  <si>
    <t>Could weak customer retention strategies lead to a decline in market share?</t>
  </si>
  <si>
    <t>Could poor brand differentiation make the company less attractive than competitors?</t>
  </si>
  <si>
    <t>Could failure to adopt emerging AI-driven security trends hurt competitiveness?</t>
  </si>
  <si>
    <t>Could competitors provide better cloud-native solutions than the company?</t>
  </si>
  <si>
    <t>Could the company fail to respond quickly enough to changes in customer demand?</t>
  </si>
  <si>
    <t>Could weak post-sale support push customers toward specialized firms?</t>
  </si>
  <si>
    <t>Could declining customer satisfaction reduce contract renewals?</t>
  </si>
  <si>
    <t>Could insufficient R&amp;D investment reduce future market competitiveness?</t>
  </si>
  <si>
    <t>Could strategic partnerships by competitors make the company lose visibility in the market?</t>
  </si>
  <si>
    <t>Could the company lose share in high-growth security segments such as endpoint or identity protection?</t>
  </si>
  <si>
    <t>Critical Data Breach During Platform Integration</t>
  </si>
  <si>
    <t>Could weak integration controls expose sensitive customer data?</t>
  </si>
  <si>
    <t>Could insecure APIs create entry points for cyber attackers?</t>
  </si>
  <si>
    <t>Could third-party integration vendors introduce hidden vulnerabilities?</t>
  </si>
  <si>
    <t>Could poor access management allow unauthorized users into integrated systems?</t>
  </si>
  <si>
    <t>Could encryption failures expose data during transfer between platforms?</t>
  </si>
  <si>
    <t>Could rushed implementation skip important security checks?</t>
  </si>
  <si>
    <t>Could misconfigured cloud settings lead to data exposure?</t>
  </si>
  <si>
    <t>Could poor employee awareness increase the chance of security mistakes during integration?</t>
  </si>
  <si>
    <t>Could delayed breach detection worsen damage and response costs?</t>
  </si>
  <si>
    <t>Could insufficient penetration testing leave critical weaknesses unresolved?</t>
  </si>
  <si>
    <t>Could a breach during integration trigger regulatory penalties?</t>
  </si>
  <si>
    <t>Could a platform-integration breach damage customer trust and brand reputation?</t>
  </si>
  <si>
    <t>Could poor incident response readiness extend system downtime after a breach?</t>
  </si>
  <si>
    <t>Could data mapping errors expose confidential records to the wrong users?</t>
  </si>
  <si>
    <t>Could legacy systems create security gaps during integration with modern platforms?</t>
  </si>
  <si>
    <t>Accelerated Enterprise Customer Acquisition Through Bundled Security Offerings</t>
  </si>
  <si>
    <t>Could bundled security offerings attract new enterprise customers more quickly than expected?</t>
  </si>
  <si>
    <t>Could bundled pricing improve the company’s competitive advantage in the enterprise market?</t>
  </si>
  <si>
    <t>Could strong demand for bundled offerings increase revenue significantly?</t>
  </si>
  <si>
    <t>Could bundled solutions improve long-term customer retention?</t>
  </si>
  <si>
    <t>Could rapid growth in enterprise clients strain onboarding capacity?</t>
  </si>
  <si>
    <t>Could the company struggle to support too many new clients at once?</t>
  </si>
  <si>
    <t>Could weak sales execution reduce the success of bundled offerings?</t>
  </si>
  <si>
    <t>Could poor bundle design make the offering less attractive to target clients?</t>
  </si>
  <si>
    <t>Could rapid enterprise expansion create service quality problems?</t>
  </si>
  <si>
    <t>Could successful bundled offerings strengthen market share and brand position?</t>
  </si>
  <si>
    <t>Scoring Guide</t>
  </si>
  <si>
    <t>Field</t>
  </si>
  <si>
    <t>Allowed Range</t>
  </si>
  <si>
    <t>Classification Rule</t>
  </si>
  <si>
    <t>Likelihood Score</t>
  </si>
  <si>
    <t>1–15</t>
  </si>
  <si>
    <t>Higher = more likely</t>
  </si>
  <si>
    <t>Used for prioritization and risk score</t>
  </si>
  <si>
    <t>Impact Score</t>
  </si>
  <si>
    <t>1–9</t>
  </si>
  <si>
    <t>Higher = greater impact</t>
  </si>
  <si>
    <t>Used for risk level classification</t>
  </si>
  <si>
    <t>&lt; 3</t>
  </si>
  <si>
    <t>Low Risk</t>
  </si>
  <si>
    <t>&gt; 3 and &lt; 5</t>
  </si>
  <si>
    <t>Medium Risk</t>
  </si>
  <si>
    <t>&gt; 5 and &lt;= 9</t>
  </si>
  <si>
    <t>High Risk</t>
  </si>
  <si>
    <t>Review</t>
  </si>
  <si>
    <t>Sub-Risk Question</t>
  </si>
  <si>
    <t>Impact Score (1–9+C+E4</t>
  </si>
  <si>
    <t>Sub-Risk Question+C+E4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</si>
</sst>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F8FBFF"/>
      </patternFill>
    </fill>
    <fill>
      <patternFill patternType="solid">
        <fgColor rgb="FFFFF8F5"/>
      </patternFill>
    </fill>
    <fill>
      <patternFill patternType="solid">
        <fgColor rgb="FFF7FC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horizontal="center"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horizontal="center" vertical="top" wrapText="1"/>
    </xf>
    <xf numFmtId="0" fontId="0" fillId="6" borderId="2" xfId="0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F3F4F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7.140625" bestFit="1" customWidth="1"/>
    <col min="2" max="2" width="36" customWidth="1"/>
    <col min="3" max="3" width="78" customWidth="1"/>
    <col min="4" max="4" width="20" customWidth="1"/>
    <col min="5" max="5" width="16" customWidth="1"/>
    <col min="6" max="6" width="13.42578125" bestFit="1" customWidth="1"/>
  </cols>
  <sheetData>
    <row r="1" spans="1:7" ht="30" x14ac:dyDescent="0.25">
      <c r="A1" s="1" t="s">
        <v>0</v>
      </c>
      <c r="B1" s="1" t="s">
        <v>1</v>
      </c>
      <c r="C1" s="1" t="s">
        <v>67</v>
      </c>
      <c r="D1" s="1" t="s">
        <v>2</v>
      </c>
      <c r="E1" s="1" t="s">
        <v>68</v>
      </c>
      <c r="F1" s="1" t="s">
        <v>3</v>
      </c>
    </row>
    <row r="2" spans="1:7" ht="30" x14ac:dyDescent="0.25">
      <c r="A2" s="2">
        <v>1</v>
      </c>
      <c r="B2" s="3" t="s">
        <v>5</v>
      </c>
      <c r="C2" s="3" t="s">
        <v>6</v>
      </c>
      <c r="D2" s="2">
        <v>12</v>
      </c>
      <c r="E2" s="2">
        <v>7</v>
      </c>
      <c r="F2" s="2" t="str">
        <f>IF(E2&lt;4,"Low Risk",IF(AND(E2&gt;4,E2&lt;6),"Medium Risk",IF(AND(E2&gt;6,E2&lt;=9),"High Risk","Review")))</f>
        <v>High Risk</v>
      </c>
    </row>
    <row r="3" spans="1:7" ht="30" x14ac:dyDescent="0.25">
      <c r="A3" s="2">
        <v>2</v>
      </c>
      <c r="B3" s="3" t="s">
        <v>5</v>
      </c>
      <c r="C3" s="3" t="s">
        <v>7</v>
      </c>
      <c r="D3" s="2">
        <v>11</v>
      </c>
      <c r="E3" s="2">
        <v>7</v>
      </c>
      <c r="F3" s="2" t="str">
        <f t="shared" ref="F3:F41" si="0">IF(E3&lt;4,"Low Risk",IF(AND(E3&gt;4,E3&lt;6),"Medium Risk",IF(AND(E3&gt;6,E3&lt;=9),"High Risk","Review")))</f>
        <v>High Risk</v>
      </c>
      <c r="G3" s="14" t="s">
        <v>69</v>
      </c>
    </row>
    <row r="4" spans="1:7" x14ac:dyDescent="0.25">
      <c r="A4" s="2">
        <v>3</v>
      </c>
      <c r="B4" s="3" t="s">
        <v>5</v>
      </c>
      <c r="C4" s="3" t="s">
        <v>8</v>
      </c>
      <c r="D4" s="2">
        <v>10</v>
      </c>
      <c r="E4" s="2">
        <v>6</v>
      </c>
      <c r="F4" s="2" t="str">
        <f t="shared" si="0"/>
        <v>Review</v>
      </c>
    </row>
    <row r="5" spans="1:7" x14ac:dyDescent="0.25">
      <c r="A5" s="2">
        <v>4</v>
      </c>
      <c r="B5" s="3" t="s">
        <v>5</v>
      </c>
      <c r="C5" s="3" t="s">
        <v>9</v>
      </c>
      <c r="D5" s="2">
        <v>11</v>
      </c>
      <c r="E5" s="2">
        <v>7</v>
      </c>
      <c r="F5" s="2" t="str">
        <f t="shared" si="0"/>
        <v>High Risk</v>
      </c>
    </row>
    <row r="6" spans="1:7" x14ac:dyDescent="0.25">
      <c r="A6" s="2">
        <v>5</v>
      </c>
      <c r="B6" s="3" t="s">
        <v>5</v>
      </c>
      <c r="C6" s="3" t="s">
        <v>10</v>
      </c>
      <c r="D6" s="2">
        <v>10</v>
      </c>
      <c r="E6" s="2">
        <v>8</v>
      </c>
      <c r="F6" s="2" t="str">
        <f t="shared" si="0"/>
        <v>High Risk</v>
      </c>
    </row>
    <row r="7" spans="1:7" x14ac:dyDescent="0.25">
      <c r="A7" s="2">
        <v>6</v>
      </c>
      <c r="B7" s="3" t="s">
        <v>5</v>
      </c>
      <c r="C7" s="3" t="s">
        <v>11</v>
      </c>
      <c r="D7" s="2">
        <v>9</v>
      </c>
      <c r="E7" s="2">
        <v>6</v>
      </c>
      <c r="F7" s="2" t="str">
        <f t="shared" si="0"/>
        <v>Review</v>
      </c>
    </row>
    <row r="8" spans="1:7" ht="30" x14ac:dyDescent="0.25">
      <c r="A8" s="2">
        <v>7</v>
      </c>
      <c r="B8" s="3" t="s">
        <v>5</v>
      </c>
      <c r="C8" s="3" t="s">
        <v>12</v>
      </c>
      <c r="D8" s="2">
        <v>9</v>
      </c>
      <c r="E8" s="2">
        <v>6</v>
      </c>
      <c r="F8" s="2" t="str">
        <f t="shared" si="0"/>
        <v>Review</v>
      </c>
    </row>
    <row r="9" spans="1:7" x14ac:dyDescent="0.25">
      <c r="A9" s="2">
        <v>8</v>
      </c>
      <c r="B9" s="3" t="s">
        <v>5</v>
      </c>
      <c r="C9" s="3" t="s">
        <v>13</v>
      </c>
      <c r="D9" s="2">
        <v>12</v>
      </c>
      <c r="E9" s="2">
        <v>8</v>
      </c>
      <c r="F9" s="2" t="str">
        <f t="shared" si="0"/>
        <v>High Risk</v>
      </c>
    </row>
    <row r="10" spans="1:7" x14ac:dyDescent="0.25">
      <c r="A10" s="2">
        <v>9</v>
      </c>
      <c r="B10" s="3" t="s">
        <v>5</v>
      </c>
      <c r="C10" s="3" t="s">
        <v>14</v>
      </c>
      <c r="D10" s="2">
        <v>10</v>
      </c>
      <c r="E10" s="2">
        <v>7</v>
      </c>
      <c r="F10" s="2" t="str">
        <f t="shared" si="0"/>
        <v>High Risk</v>
      </c>
    </row>
    <row r="11" spans="1:7" x14ac:dyDescent="0.25">
      <c r="A11" s="2">
        <v>10</v>
      </c>
      <c r="B11" s="3" t="s">
        <v>5</v>
      </c>
      <c r="C11" s="3" t="s">
        <v>15</v>
      </c>
      <c r="D11" s="2">
        <v>11</v>
      </c>
      <c r="E11" s="2">
        <v>7</v>
      </c>
      <c r="F11" s="2" t="str">
        <f t="shared" si="0"/>
        <v>High Risk</v>
      </c>
    </row>
    <row r="12" spans="1:7" x14ac:dyDescent="0.25">
      <c r="A12" s="2">
        <v>11</v>
      </c>
      <c r="B12" s="3" t="s">
        <v>5</v>
      </c>
      <c r="C12" s="3" t="s">
        <v>16</v>
      </c>
      <c r="D12" s="2">
        <v>8</v>
      </c>
      <c r="E12" s="2">
        <v>4</v>
      </c>
      <c r="F12" s="2" t="str">
        <f t="shared" si="0"/>
        <v>Review</v>
      </c>
    </row>
    <row r="13" spans="1:7" x14ac:dyDescent="0.25">
      <c r="A13" s="2">
        <v>12</v>
      </c>
      <c r="B13" s="3" t="s">
        <v>5</v>
      </c>
      <c r="C13" s="3" t="s">
        <v>17</v>
      </c>
      <c r="D13" s="2">
        <v>9</v>
      </c>
      <c r="E13" s="2">
        <v>6</v>
      </c>
      <c r="F13" s="2" t="str">
        <f t="shared" si="0"/>
        <v>Review</v>
      </c>
    </row>
    <row r="14" spans="1:7" x14ac:dyDescent="0.25">
      <c r="A14" s="2">
        <v>13</v>
      </c>
      <c r="B14" s="3" t="s">
        <v>5</v>
      </c>
      <c r="C14" s="3" t="s">
        <v>18</v>
      </c>
      <c r="D14" s="2">
        <v>10</v>
      </c>
      <c r="E14" s="2">
        <v>8</v>
      </c>
      <c r="F14" s="2" t="str">
        <f t="shared" si="0"/>
        <v>High Risk</v>
      </c>
    </row>
    <row r="15" spans="1:7" ht="30" x14ac:dyDescent="0.25">
      <c r="A15" s="2">
        <v>14</v>
      </c>
      <c r="B15" s="3" t="s">
        <v>5</v>
      </c>
      <c r="C15" s="3" t="s">
        <v>19</v>
      </c>
      <c r="D15" s="2">
        <v>8</v>
      </c>
      <c r="E15" s="2">
        <v>5</v>
      </c>
      <c r="F15" s="2" t="str">
        <f t="shared" si="0"/>
        <v>Medium Risk</v>
      </c>
    </row>
    <row r="16" spans="1:7" ht="30" x14ac:dyDescent="0.25">
      <c r="A16" s="2">
        <v>15</v>
      </c>
      <c r="B16" s="3" t="s">
        <v>5</v>
      </c>
      <c r="C16" s="3" t="s">
        <v>20</v>
      </c>
      <c r="D16" s="2">
        <v>9</v>
      </c>
      <c r="E16" s="2">
        <v>7</v>
      </c>
      <c r="F16" s="2" t="str">
        <f t="shared" si="0"/>
        <v>High Risk</v>
      </c>
    </row>
    <row r="17" spans="1:6" ht="30" x14ac:dyDescent="0.25">
      <c r="A17" s="4">
        <v>16</v>
      </c>
      <c r="B17" s="5" t="s">
        <v>21</v>
      </c>
      <c r="C17" s="5" t="s">
        <v>22</v>
      </c>
      <c r="D17" s="4">
        <v>10</v>
      </c>
      <c r="E17" s="4">
        <v>9</v>
      </c>
      <c r="F17" s="2" t="str">
        <f t="shared" si="0"/>
        <v>High Risk</v>
      </c>
    </row>
    <row r="18" spans="1:6" ht="30" x14ac:dyDescent="0.25">
      <c r="A18" s="4">
        <v>17</v>
      </c>
      <c r="B18" s="5" t="s">
        <v>21</v>
      </c>
      <c r="C18" s="5" t="s">
        <v>23</v>
      </c>
      <c r="D18" s="4">
        <v>11</v>
      </c>
      <c r="E18" s="4">
        <v>9</v>
      </c>
      <c r="F18" s="2" t="str">
        <f t="shared" si="0"/>
        <v>High Risk</v>
      </c>
    </row>
    <row r="19" spans="1:6" ht="30" x14ac:dyDescent="0.25">
      <c r="A19" s="4">
        <v>18</v>
      </c>
      <c r="B19" s="5" t="s">
        <v>21</v>
      </c>
      <c r="C19" s="5" t="s">
        <v>24</v>
      </c>
      <c r="D19" s="4">
        <v>9</v>
      </c>
      <c r="E19" s="4">
        <v>8</v>
      </c>
      <c r="F19" s="2" t="str">
        <f t="shared" si="0"/>
        <v>High Risk</v>
      </c>
    </row>
    <row r="20" spans="1:6" ht="30" x14ac:dyDescent="0.25">
      <c r="A20" s="4">
        <v>19</v>
      </c>
      <c r="B20" s="5" t="s">
        <v>21</v>
      </c>
      <c r="C20" s="5" t="s">
        <v>25</v>
      </c>
      <c r="D20" s="4">
        <v>10</v>
      </c>
      <c r="E20" s="4">
        <v>9</v>
      </c>
      <c r="F20" s="2" t="str">
        <f t="shared" si="0"/>
        <v>High Risk</v>
      </c>
    </row>
    <row r="21" spans="1:6" ht="30" x14ac:dyDescent="0.25">
      <c r="A21" s="4">
        <v>20</v>
      </c>
      <c r="B21" s="5" t="s">
        <v>21</v>
      </c>
      <c r="C21" s="5" t="s">
        <v>26</v>
      </c>
      <c r="D21" s="4">
        <v>8</v>
      </c>
      <c r="E21" s="4">
        <v>8</v>
      </c>
      <c r="F21" s="2" t="str">
        <f t="shared" si="0"/>
        <v>High Risk</v>
      </c>
    </row>
    <row r="22" spans="1:6" ht="30" x14ac:dyDescent="0.25">
      <c r="A22" s="4">
        <v>21</v>
      </c>
      <c r="B22" s="5" t="s">
        <v>21</v>
      </c>
      <c r="C22" s="5" t="s">
        <v>27</v>
      </c>
      <c r="D22" s="4">
        <v>12</v>
      </c>
      <c r="E22" s="4">
        <v>8</v>
      </c>
      <c r="F22" s="2" t="str">
        <f t="shared" si="0"/>
        <v>High Risk</v>
      </c>
    </row>
    <row r="23" spans="1:6" ht="30" x14ac:dyDescent="0.25">
      <c r="A23" s="4">
        <v>22</v>
      </c>
      <c r="B23" s="5" t="s">
        <v>21</v>
      </c>
      <c r="C23" s="5" t="s">
        <v>28</v>
      </c>
      <c r="D23" s="4">
        <v>10</v>
      </c>
      <c r="E23" s="4">
        <v>9</v>
      </c>
      <c r="F23" s="2" t="str">
        <f t="shared" si="0"/>
        <v>High Risk</v>
      </c>
    </row>
    <row r="24" spans="1:6" ht="30" x14ac:dyDescent="0.25">
      <c r="A24" s="4">
        <v>23</v>
      </c>
      <c r="B24" s="5" t="s">
        <v>21</v>
      </c>
      <c r="C24" s="5" t="s">
        <v>29</v>
      </c>
      <c r="D24" s="4">
        <v>9</v>
      </c>
      <c r="E24" s="4">
        <v>6</v>
      </c>
      <c r="F24" s="2" t="str">
        <f t="shared" si="0"/>
        <v>Review</v>
      </c>
    </row>
    <row r="25" spans="1:6" ht="30" x14ac:dyDescent="0.25">
      <c r="A25" s="4">
        <v>24</v>
      </c>
      <c r="B25" s="5" t="s">
        <v>21</v>
      </c>
      <c r="C25" s="5" t="s">
        <v>30</v>
      </c>
      <c r="D25" s="4">
        <v>8</v>
      </c>
      <c r="E25" s="4">
        <v>9</v>
      </c>
      <c r="F25" s="2" t="str">
        <f t="shared" si="0"/>
        <v>High Risk</v>
      </c>
    </row>
    <row r="26" spans="1:6" ht="30" x14ac:dyDescent="0.25">
      <c r="A26" s="4">
        <v>25</v>
      </c>
      <c r="B26" s="5" t="s">
        <v>21</v>
      </c>
      <c r="C26" s="5" t="s">
        <v>31</v>
      </c>
      <c r="D26" s="4">
        <v>9</v>
      </c>
      <c r="E26" s="4">
        <v>8</v>
      </c>
      <c r="F26" s="2" t="str">
        <f t="shared" si="0"/>
        <v>High Risk</v>
      </c>
    </row>
    <row r="27" spans="1:6" ht="30" x14ac:dyDescent="0.25">
      <c r="A27" s="4">
        <v>26</v>
      </c>
      <c r="B27" s="5" t="s">
        <v>21</v>
      </c>
      <c r="C27" s="5" t="s">
        <v>32</v>
      </c>
      <c r="D27" s="4">
        <v>8</v>
      </c>
      <c r="E27" s="4">
        <v>9</v>
      </c>
      <c r="F27" s="2" t="str">
        <f t="shared" si="0"/>
        <v>High Risk</v>
      </c>
    </row>
    <row r="28" spans="1:6" ht="30" x14ac:dyDescent="0.25">
      <c r="A28" s="4">
        <v>27</v>
      </c>
      <c r="B28" s="5" t="s">
        <v>21</v>
      </c>
      <c r="C28" s="5" t="s">
        <v>33</v>
      </c>
      <c r="D28" s="4">
        <v>9</v>
      </c>
      <c r="E28" s="4">
        <v>9</v>
      </c>
      <c r="F28" s="2" t="str">
        <f t="shared" si="0"/>
        <v>High Risk</v>
      </c>
    </row>
    <row r="29" spans="1:6" ht="30" x14ac:dyDescent="0.25">
      <c r="A29" s="4">
        <v>28</v>
      </c>
      <c r="B29" s="5" t="s">
        <v>21</v>
      </c>
      <c r="C29" s="5" t="s">
        <v>34</v>
      </c>
      <c r="D29" s="4">
        <v>8</v>
      </c>
      <c r="E29" s="4">
        <v>8</v>
      </c>
      <c r="F29" s="2" t="str">
        <f t="shared" si="0"/>
        <v>High Risk</v>
      </c>
    </row>
    <row r="30" spans="1:6" ht="30" x14ac:dyDescent="0.25">
      <c r="A30" s="4">
        <v>29</v>
      </c>
      <c r="B30" s="5" t="s">
        <v>21</v>
      </c>
      <c r="C30" s="5" t="s">
        <v>35</v>
      </c>
      <c r="D30" s="4">
        <v>7</v>
      </c>
      <c r="E30" s="4">
        <v>7</v>
      </c>
      <c r="F30" s="2" t="str">
        <f t="shared" si="0"/>
        <v>High Risk</v>
      </c>
    </row>
    <row r="31" spans="1:6" ht="30" x14ac:dyDescent="0.25">
      <c r="A31" s="4">
        <v>30</v>
      </c>
      <c r="B31" s="5" t="s">
        <v>21</v>
      </c>
      <c r="C31" s="5" t="s">
        <v>36</v>
      </c>
      <c r="D31" s="4">
        <v>9</v>
      </c>
      <c r="E31" s="4">
        <v>8</v>
      </c>
      <c r="F31" s="2" t="str">
        <f t="shared" si="0"/>
        <v>High Risk</v>
      </c>
    </row>
    <row r="32" spans="1:6" ht="45" x14ac:dyDescent="0.25">
      <c r="A32" s="6">
        <v>31</v>
      </c>
      <c r="B32" s="7" t="s">
        <v>37</v>
      </c>
      <c r="C32" s="7" t="s">
        <v>38</v>
      </c>
      <c r="D32" s="6">
        <v>11</v>
      </c>
      <c r="E32" s="6">
        <v>8</v>
      </c>
      <c r="F32" s="2" t="str">
        <f t="shared" si="0"/>
        <v>High Risk</v>
      </c>
    </row>
    <row r="33" spans="1:6" ht="45" x14ac:dyDescent="0.25">
      <c r="A33" s="6">
        <v>32</v>
      </c>
      <c r="B33" s="7" t="s">
        <v>37</v>
      </c>
      <c r="C33" s="7" t="s">
        <v>39</v>
      </c>
      <c r="D33" s="6">
        <v>10</v>
      </c>
      <c r="E33" s="6">
        <v>7</v>
      </c>
      <c r="F33" s="2" t="str">
        <f t="shared" si="0"/>
        <v>High Risk</v>
      </c>
    </row>
    <row r="34" spans="1:6" ht="45" x14ac:dyDescent="0.25">
      <c r="A34" s="6">
        <v>33</v>
      </c>
      <c r="B34" s="7" t="s">
        <v>37</v>
      </c>
      <c r="C34" s="7" t="s">
        <v>40</v>
      </c>
      <c r="D34" s="6">
        <v>11</v>
      </c>
      <c r="E34" s="6">
        <v>8</v>
      </c>
      <c r="F34" s="2" t="str">
        <f t="shared" si="0"/>
        <v>High Risk</v>
      </c>
    </row>
    <row r="35" spans="1:6" ht="45" x14ac:dyDescent="0.25">
      <c r="A35" s="6">
        <v>34</v>
      </c>
      <c r="B35" s="7" t="s">
        <v>37</v>
      </c>
      <c r="C35" s="7" t="s">
        <v>41</v>
      </c>
      <c r="D35" s="6">
        <v>9</v>
      </c>
      <c r="E35" s="6">
        <v>6</v>
      </c>
      <c r="F35" s="2" t="s">
        <v>63</v>
      </c>
    </row>
    <row r="36" spans="1:6" ht="45" x14ac:dyDescent="0.25">
      <c r="A36" s="6">
        <v>35</v>
      </c>
      <c r="B36" s="7" t="s">
        <v>37</v>
      </c>
      <c r="C36" s="7" t="s">
        <v>42</v>
      </c>
      <c r="D36" s="6">
        <v>8</v>
      </c>
      <c r="E36" s="6">
        <v>5</v>
      </c>
      <c r="F36" s="2" t="str">
        <f t="shared" si="0"/>
        <v>Medium Risk</v>
      </c>
    </row>
    <row r="37" spans="1:6" ht="45" x14ac:dyDescent="0.25">
      <c r="A37" s="6">
        <v>36</v>
      </c>
      <c r="B37" s="7" t="s">
        <v>37</v>
      </c>
      <c r="C37" s="7" t="s">
        <v>43</v>
      </c>
      <c r="D37" s="6">
        <v>8</v>
      </c>
      <c r="E37" s="6">
        <v>6</v>
      </c>
      <c r="F37" s="2" t="s">
        <v>63</v>
      </c>
    </row>
    <row r="38" spans="1:6" ht="45" x14ac:dyDescent="0.25">
      <c r="A38" s="6">
        <v>37</v>
      </c>
      <c r="B38" s="7" t="s">
        <v>37</v>
      </c>
      <c r="C38" s="7" t="s">
        <v>44</v>
      </c>
      <c r="D38" s="6">
        <v>7</v>
      </c>
      <c r="E38" s="6">
        <v>4</v>
      </c>
      <c r="F38" s="2" t="s">
        <v>63</v>
      </c>
    </row>
    <row r="39" spans="1:6" ht="45" x14ac:dyDescent="0.25">
      <c r="A39" s="6">
        <v>38</v>
      </c>
      <c r="B39" s="7" t="s">
        <v>37</v>
      </c>
      <c r="C39" s="7" t="s">
        <v>45</v>
      </c>
      <c r="D39" s="6">
        <v>8</v>
      </c>
      <c r="E39" s="6">
        <v>4</v>
      </c>
      <c r="F39" s="2" t="s">
        <v>63</v>
      </c>
    </row>
    <row r="40" spans="1:6" ht="45" x14ac:dyDescent="0.25">
      <c r="A40" s="6">
        <v>39</v>
      </c>
      <c r="B40" s="7" t="s">
        <v>37</v>
      </c>
      <c r="C40" s="7" t="s">
        <v>46</v>
      </c>
      <c r="D40" s="6">
        <v>9</v>
      </c>
      <c r="E40" s="6">
        <v>6</v>
      </c>
      <c r="F40" s="2" t="s">
        <v>63</v>
      </c>
    </row>
    <row r="41" spans="1:6" ht="45" x14ac:dyDescent="0.25">
      <c r="A41" s="6">
        <v>40</v>
      </c>
      <c r="B41" s="7" t="s">
        <v>37</v>
      </c>
      <c r="C41" s="7" t="s">
        <v>47</v>
      </c>
      <c r="D41" s="6">
        <v>10</v>
      </c>
      <c r="E41" s="6">
        <v>7</v>
      </c>
      <c r="F41" s="2" t="str">
        <f t="shared" si="0"/>
        <v>High Risk</v>
      </c>
    </row>
  </sheetData>
  <autoFilter ref="A1:F41" xr:uid="{00000000-0009-0000-0000-000000000000}"/>
  <conditionalFormatting sqref="F2:F41">
    <cfRule type="cellIs" dxfId="3" priority="1" operator="equal">
      <formula>"High Risk"</formula>
    </cfRule>
    <cfRule type="cellIs" dxfId="2" priority="2" operator="equal">
      <formula>"Medium Risk"</formula>
    </cfRule>
    <cfRule type="cellIs" dxfId="1" priority="3" operator="equal">
      <formula>"Low Risk"</formula>
    </cfRule>
    <cfRule type="cellIs" dxfId="0" priority="4" operator="equal">
      <formula>"Review"</formula>
    </cfRule>
  </conditionalFormatting>
  <dataValidations count="2">
    <dataValidation type="whole" sqref="D2:D41" xr:uid="{00000000-0002-0000-0000-000000000000}">
      <formula1>1</formula1>
      <formula2>15</formula2>
    </dataValidation>
    <dataValidation type="whole" sqref="E2:E41" xr:uid="{00000000-0002-0000-0000-000001000000}">
      <formula1>1</formula1>
      <formula2>9</formula2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opLeftCell="A24" workbookViewId="0">
      <selection activeCell="D10" sqref="D10"/>
    </sheetView>
  </sheetViews>
  <sheetFormatPr defaultRowHeight="15" x14ac:dyDescent="0.25"/>
  <cols>
    <col min="1" max="2" width="18" customWidth="1"/>
    <col min="3" max="3" width="24" customWidth="1"/>
    <col min="4" max="4" width="42" customWidth="1"/>
  </cols>
  <sheetData>
    <row r="1" spans="1:4" ht="17.25" x14ac:dyDescent="0.3">
      <c r="A1" s="16" t="s">
        <v>48</v>
      </c>
      <c r="B1" s="15"/>
      <c r="C1" s="15"/>
      <c r="D1" s="15"/>
    </row>
    <row r="2" spans="1:4" x14ac:dyDescent="0.25">
      <c r="A2" s="8" t="s">
        <v>49</v>
      </c>
      <c r="B2" s="8" t="s">
        <v>50</v>
      </c>
      <c r="C2" s="8" t="s">
        <v>51</v>
      </c>
      <c r="D2" s="8" t="s">
        <v>4</v>
      </c>
    </row>
    <row r="3" spans="1:4" x14ac:dyDescent="0.25">
      <c r="A3" s="9" t="s">
        <v>52</v>
      </c>
      <c r="B3" s="9" t="s">
        <v>53</v>
      </c>
      <c r="C3" s="9" t="s">
        <v>54</v>
      </c>
      <c r="D3" s="9" t="s">
        <v>55</v>
      </c>
    </row>
    <row r="4" spans="1:4" x14ac:dyDescent="0.25">
      <c r="A4" s="9" t="s">
        <v>56</v>
      </c>
      <c r="B4" s="9" t="s">
        <v>57</v>
      </c>
      <c r="C4" s="9" t="s">
        <v>58</v>
      </c>
      <c r="D4" s="9" t="s">
        <v>59</v>
      </c>
    </row>
    <row r="5" spans="1:4" x14ac:dyDescent="0.25">
      <c r="A5" s="9"/>
      <c r="B5" s="9"/>
      <c r="C5" s="9"/>
      <c r="D5" s="9"/>
    </row>
    <row r="6" spans="1:4" x14ac:dyDescent="0.25">
      <c r="A6" s="9" t="s">
        <v>56</v>
      </c>
      <c r="B6" s="9" t="s">
        <v>3</v>
      </c>
      <c r="C6" s="9"/>
      <c r="D6" s="9"/>
    </row>
    <row r="7" spans="1:4" x14ac:dyDescent="0.25">
      <c r="A7" s="9" t="s">
        <v>60</v>
      </c>
      <c r="B7" s="10" t="s">
        <v>61</v>
      </c>
      <c r="C7" s="9"/>
      <c r="D7" s="9"/>
    </row>
    <row r="8" spans="1:4" x14ac:dyDescent="0.25">
      <c r="A8" s="9" t="s">
        <v>62</v>
      </c>
      <c r="B8" s="11" t="s">
        <v>63</v>
      </c>
      <c r="C8" s="9"/>
      <c r="D8" s="9"/>
    </row>
    <row r="9" spans="1:4" x14ac:dyDescent="0.25">
      <c r="A9" s="9" t="s">
        <v>64</v>
      </c>
      <c r="B9" s="12" t="s">
        <v>65</v>
      </c>
      <c r="C9" s="9"/>
      <c r="D9" s="9"/>
    </row>
    <row r="10" spans="1:4" x14ac:dyDescent="0.25">
      <c r="A10" s="9"/>
      <c r="B10" s="13" t="s">
        <v>66</v>
      </c>
      <c r="C10" s="9"/>
      <c r="D10" s="9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dan</cp:lastModifiedBy>
  <dcterms:created xsi:type="dcterms:W3CDTF">2026-03-08T01:15:41Z</dcterms:created>
  <dcterms:modified xsi:type="dcterms:W3CDTF">2026-03-08T02:26:04Z</dcterms:modified>
</cp:coreProperties>
</file>