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725" yWindow="3105" windowWidth="24525" windowHeight="15345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coring Guide" sheetId="2" state="visible" r:id="rId2"/>
  </sheets>
  <definedNames>
    <definedName name="_xlnm._FilterDatabase" localSheetId="0" hidden="1">'Risk Register'!$A$1:$F$41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3F4F6"/>
      </patternFill>
    </fill>
    <fill>
      <patternFill patternType="solid">
        <fgColor rgb="FFF8FBFF"/>
      </patternFill>
    </fill>
    <fill>
      <patternFill patternType="solid">
        <fgColor rgb="FFFFF8F5"/>
      </patternFill>
    </fill>
    <fill>
      <patternFill patternType="solid">
        <fgColor rgb="FFF7FC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002F5496"/>
      </patternFill>
    </fill>
    <fill>
      <patternFill patternType="solid">
        <fgColor rgb="00FFD93D"/>
      </patternFill>
    </fill>
    <fill>
      <patternFill patternType="solid">
        <fgColor rgb="00FF6B6B"/>
      </patternFill>
    </fill>
    <fill>
      <patternFill patternType="solid">
        <fgColor rgb="006BCB77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D9D9D9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horizontal="center"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horizontal="center" vertical="top" wrapText="1"/>
    </xf>
    <xf numFmtId="0" fontId="0" fillId="6" borderId="2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pivotButton="0" quotePrefix="0" xfId="0"/>
    <xf numFmtId="0" fontId="2" fillId="2" borderId="0" pivotButton="0" quotePrefix="0" xfId="0"/>
    <xf numFmtId="0" fontId="3" fillId="10" borderId="3" applyAlignment="1" pivotButton="0" quotePrefix="0" xfId="0">
      <alignment horizontal="center" wrapText="1"/>
    </xf>
    <xf numFmtId="0" fontId="4" fillId="0" borderId="3" applyAlignment="1" pivotButton="0" quotePrefix="0" xfId="0">
      <alignment horizontal="center"/>
    </xf>
    <xf numFmtId="0" fontId="5" fillId="11" borderId="3" applyAlignment="1" pivotButton="0" quotePrefix="0" xfId="0">
      <alignment horizontal="center"/>
    </xf>
    <xf numFmtId="0" fontId="5" fillId="12" borderId="3" applyAlignment="1" pivotButton="0" quotePrefix="0" xfId="0">
      <alignment horizontal="center"/>
    </xf>
    <xf numFmtId="0" fontId="5" fillId="13" borderId="3" applyAlignment="1" pivotButton="0" quotePrefix="0" xfId="0">
      <alignment horizontal="center"/>
    </xf>
  </cellXfs>
  <cellStyles count="1">
    <cellStyle name="Normal" xfId="0" builtinId="0"/>
  </cellStyles>
  <dxfs count="4">
    <dxf>
      <fill>
        <patternFill patternType="solid">
          <fgColor rgb="FFF3F4F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F2" authorId="0" shapeId="0">
      <text>
        <t>Formula classifies risk level from Impact only, using user-provided thresholds. Exact scores of 3 or 5 return "Review".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8" defaultRowHeight="15"/>
  <cols>
    <col width="17.140625" bestFit="1" customWidth="1" style="15" min="1" max="1"/>
    <col width="36" customWidth="1" style="15" min="2" max="2"/>
    <col width="78" customWidth="1" style="15" min="3" max="3"/>
    <col width="20" customWidth="1" style="15" min="4" max="4"/>
    <col width="16" customWidth="1" style="15" min="5" max="5"/>
    <col width="13.42578125" bestFit="1" customWidth="1" style="15" min="6" max="6"/>
    <col width="12" customWidth="1" style="15" min="8" max="8"/>
    <col width="14" customWidth="1" style="15" min="9" max="9"/>
    <col width="18" customWidth="1" style="15" min="10" max="10"/>
    <col width="13" customWidth="1" style="15" min="11" max="11"/>
    <col width="14" customWidth="1" style="15" min="12" max="12"/>
    <col width="15" customWidth="1" style="15" min="13" max="13"/>
  </cols>
  <sheetData>
    <row r="1" ht="30" customHeight="1" s="15">
      <c r="A1" s="1" t="inlineStr">
        <is>
          <t>No.</t>
        </is>
      </c>
      <c r="B1" s="1" t="inlineStr">
        <is>
          <t>Main Risk Area</t>
        </is>
      </c>
      <c r="C1" s="1" t="inlineStr">
        <is>
          <t>Sub-Risk Question</t>
        </is>
      </c>
      <c r="D1" s="1" t="inlineStr">
        <is>
          <t>Likelihood Score (1–15)</t>
        </is>
      </c>
      <c r="E1" s="1" t="inlineStr">
        <is>
          <t>Impact Score (1–9+C+E4</t>
        </is>
      </c>
      <c r="F1" s="1" t="inlineStr">
        <is>
          <t>Risk Level</t>
        </is>
      </c>
      <c r="H1" s="17" t="inlineStr">
        <is>
          <t>Risk Score</t>
        </is>
      </c>
      <c r="I1" s="17" t="inlineStr">
        <is>
          <t>MC Mean Score</t>
        </is>
      </c>
      <c r="J1" s="17" t="inlineStr">
        <is>
          <t>MC 95th %ile (VaR)</t>
        </is>
      </c>
      <c r="K1" s="17" t="inlineStr">
        <is>
          <t>P(High Risk)</t>
        </is>
      </c>
      <c r="L1" s="17" t="inlineStr">
        <is>
          <t>I&amp;W Composite</t>
        </is>
      </c>
      <c r="M1" s="17" t="inlineStr">
        <is>
          <t>Warning Level</t>
        </is>
      </c>
    </row>
    <row r="2" ht="30" customHeight="1" s="15">
      <c r="A2" s="2" t="n">
        <v>1</v>
      </c>
      <c r="B2" s="3" t="inlineStr">
        <is>
          <t>Loss of Cybersecurity Market Share</t>
        </is>
      </c>
      <c r="C2" s="3" t="inlineStr">
        <is>
          <t>Could specialized competitors offer more innovative cybersecurity tools than the company?</t>
        </is>
      </c>
      <c r="D2" s="2" t="n">
        <v>12</v>
      </c>
      <c r="E2" s="2" t="n">
        <v>7</v>
      </c>
      <c r="F2" s="2">
        <f>IF(E2&lt;4,"Low Risk",IF(AND(E2&gt;4,E2&lt;6),"Medium Risk",IF(AND(E2&gt;6,E2&lt;=9),"High Risk","Review")))</f>
        <v/>
      </c>
      <c r="H2" s="18" t="n">
        <v>84</v>
      </c>
      <c r="I2" s="18" t="n">
        <v>65.2</v>
      </c>
      <c r="J2" s="18" t="n">
        <v>86.55</v>
      </c>
      <c r="K2" s="18" t="inlineStr">
        <is>
          <t>98.4%</t>
        </is>
      </c>
      <c r="L2" s="18" t="n">
        <v>3.4</v>
      </c>
      <c r="M2" s="19" t="inlineStr">
        <is>
          <t>YELLOW</t>
        </is>
      </c>
    </row>
    <row r="3" ht="30" customHeight="1" s="15">
      <c r="A3" s="2" t="n">
        <v>2</v>
      </c>
      <c r="B3" s="3" t="inlineStr">
        <is>
          <t>Loss of Cybersecurity Market Share</t>
        </is>
      </c>
      <c r="C3" s="3" t="inlineStr">
        <is>
          <t>Could the company lose customers because its security solutions are too broad and not specialized enough?</t>
        </is>
      </c>
      <c r="D3" s="2" t="n">
        <v>11</v>
      </c>
      <c r="E3" s="2" t="n">
        <v>7</v>
      </c>
      <c r="F3" s="2">
        <f>IF(E3&lt;4,"Low Risk",IF(AND(E3&gt;4,E3&lt;6),"Medium Risk",IF(AND(E3&gt;6,E3&lt;=9),"High Risk","Review")))</f>
        <v/>
      </c>
      <c r="G3" s="14" t="inlineStr">
        <is>
          <t>Sub-Risk Question+C+E4</t>
        </is>
      </c>
      <c r="H3" s="18" t="n">
        <v>77</v>
      </c>
      <c r="I3" s="18" t="n">
        <v>65.2</v>
      </c>
      <c r="J3" s="18" t="n">
        <v>86.55</v>
      </c>
      <c r="K3" s="18" t="inlineStr">
        <is>
          <t>98.4%</t>
        </is>
      </c>
      <c r="L3" s="18" t="n">
        <v>3.4</v>
      </c>
      <c r="M3" s="19" t="inlineStr">
        <is>
          <t>YELLOW</t>
        </is>
      </c>
    </row>
    <row r="4">
      <c r="A4" s="2" t="n">
        <v>3</v>
      </c>
      <c r="B4" s="3" t="inlineStr">
        <is>
          <t>Loss of Cybersecurity Market Share</t>
        </is>
      </c>
      <c r="C4" s="3" t="inlineStr">
        <is>
          <t>Could aggressive competitor pricing reduce the company’s customer base?</t>
        </is>
      </c>
      <c r="D4" s="2" t="n">
        <v>10</v>
      </c>
      <c r="E4" s="2" t="n">
        <v>6</v>
      </c>
      <c r="F4" s="2">
        <f>IF(E4&lt;4,"Low Risk",IF(AND(E4&gt;4,E4&lt;6),"Medium Risk",IF(AND(E4&gt;6,E4&lt;=9),"High Risk","Review")))</f>
        <v/>
      </c>
      <c r="H4" s="18" t="n">
        <v>60</v>
      </c>
      <c r="I4" s="18" t="n">
        <v>65.2</v>
      </c>
      <c r="J4" s="18" t="n">
        <v>86.55</v>
      </c>
      <c r="K4" s="18" t="inlineStr">
        <is>
          <t>98.4%</t>
        </is>
      </c>
      <c r="L4" s="18" t="n">
        <v>3.4</v>
      </c>
      <c r="M4" s="19" t="inlineStr">
        <is>
          <t>YELLOW</t>
        </is>
      </c>
    </row>
    <row r="5">
      <c r="A5" s="2" t="n">
        <v>4</v>
      </c>
      <c r="B5" s="3" t="inlineStr">
        <is>
          <t>Loss of Cybersecurity Market Share</t>
        </is>
      </c>
      <c r="C5" s="3" t="inlineStr">
        <is>
          <t>Could slower product updates weaken the company’s position in the market?</t>
        </is>
      </c>
      <c r="D5" s="2" t="n">
        <v>11</v>
      </c>
      <c r="E5" s="2" t="n">
        <v>7</v>
      </c>
      <c r="F5" s="2">
        <f>IF(E5&lt;4,"Low Risk",IF(AND(E5&gt;4,E5&lt;6),"Medium Risk",IF(AND(E5&gt;6,E5&lt;=9),"High Risk","Review")))</f>
        <v/>
      </c>
      <c r="H5" s="18" t="n">
        <v>77</v>
      </c>
      <c r="I5" s="18" t="n">
        <v>65.2</v>
      </c>
      <c r="J5" s="18" t="n">
        <v>86.55</v>
      </c>
      <c r="K5" s="18" t="inlineStr">
        <is>
          <t>98.4%</t>
        </is>
      </c>
      <c r="L5" s="18" t="n">
        <v>3.4</v>
      </c>
      <c r="M5" s="19" t="inlineStr">
        <is>
          <t>YELLOW</t>
        </is>
      </c>
    </row>
    <row r="6">
      <c r="A6" s="2" t="n">
        <v>5</v>
      </c>
      <c r="B6" s="3" t="inlineStr">
        <is>
          <t>Loss of Cybersecurity Market Share</t>
        </is>
      </c>
      <c r="C6" s="3" t="inlineStr">
        <is>
          <t>Could niche competitors attract enterprise clients with better tailored services?</t>
        </is>
      </c>
      <c r="D6" s="2" t="n">
        <v>10</v>
      </c>
      <c r="E6" s="2" t="n">
        <v>8</v>
      </c>
      <c r="F6" s="2">
        <f>IF(E6&lt;4,"Low Risk",IF(AND(E6&gt;4,E6&lt;6),"Medium Risk",IF(AND(E6&gt;6,E6&lt;=9),"High Risk","Review")))</f>
        <v/>
      </c>
      <c r="H6" s="18" t="n">
        <v>80</v>
      </c>
      <c r="I6" s="18" t="n">
        <v>65.2</v>
      </c>
      <c r="J6" s="18" t="n">
        <v>86.55</v>
      </c>
      <c r="K6" s="18" t="inlineStr">
        <is>
          <t>98.4%</t>
        </is>
      </c>
      <c r="L6" s="18" t="n">
        <v>3.4</v>
      </c>
      <c r="M6" s="19" t="inlineStr">
        <is>
          <t>YELLOW</t>
        </is>
      </c>
    </row>
    <row r="7">
      <c r="A7" s="2" t="n">
        <v>6</v>
      </c>
      <c r="B7" s="3" t="inlineStr">
        <is>
          <t>Loss of Cybersecurity Market Share</t>
        </is>
      </c>
      <c r="C7" s="3" t="inlineStr">
        <is>
          <t>Could weak customer retention strategies lead to a decline in market share?</t>
        </is>
      </c>
      <c r="D7" s="2" t="n">
        <v>9</v>
      </c>
      <c r="E7" s="2" t="n">
        <v>6</v>
      </c>
      <c r="F7" s="2">
        <f>IF(E7&lt;4,"Low Risk",IF(AND(E7&gt;4,E7&lt;6),"Medium Risk",IF(AND(E7&gt;6,E7&lt;=9),"High Risk","Review")))</f>
        <v/>
      </c>
      <c r="H7" s="18" t="n">
        <v>54</v>
      </c>
      <c r="I7" s="18" t="n">
        <v>65.2</v>
      </c>
      <c r="J7" s="18" t="n">
        <v>86.55</v>
      </c>
      <c r="K7" s="18" t="inlineStr">
        <is>
          <t>98.4%</t>
        </is>
      </c>
      <c r="L7" s="18" t="n">
        <v>3.4</v>
      </c>
      <c r="M7" s="19" t="inlineStr">
        <is>
          <t>YELLOW</t>
        </is>
      </c>
    </row>
    <row r="8" ht="30" customHeight="1" s="15">
      <c r="A8" s="2" t="n">
        <v>7</v>
      </c>
      <c r="B8" s="3" t="inlineStr">
        <is>
          <t>Loss of Cybersecurity Market Share</t>
        </is>
      </c>
      <c r="C8" s="3" t="inlineStr">
        <is>
          <t>Could poor brand differentiation make the company less attractive than competitors?</t>
        </is>
      </c>
      <c r="D8" s="2" t="n">
        <v>9</v>
      </c>
      <c r="E8" s="2" t="n">
        <v>6</v>
      </c>
      <c r="F8" s="2">
        <f>IF(E8&lt;4,"Low Risk",IF(AND(E8&gt;4,E8&lt;6),"Medium Risk",IF(AND(E8&gt;6,E8&lt;=9),"High Risk","Review")))</f>
        <v/>
      </c>
      <c r="H8" s="18" t="n">
        <v>54</v>
      </c>
      <c r="I8" s="18" t="n">
        <v>65.2</v>
      </c>
      <c r="J8" s="18" t="n">
        <v>86.55</v>
      </c>
      <c r="K8" s="18" t="inlineStr">
        <is>
          <t>98.4%</t>
        </is>
      </c>
      <c r="L8" s="18" t="n">
        <v>3.4</v>
      </c>
      <c r="M8" s="19" t="inlineStr">
        <is>
          <t>YELLOW</t>
        </is>
      </c>
    </row>
    <row r="9">
      <c r="A9" s="2" t="n">
        <v>8</v>
      </c>
      <c r="B9" s="3" t="inlineStr">
        <is>
          <t>Loss of Cybersecurity Market Share</t>
        </is>
      </c>
      <c r="C9" s="3" t="inlineStr">
        <is>
          <t>Could failure to adopt emerging AI-driven security trends hurt competitiveness?</t>
        </is>
      </c>
      <c r="D9" s="2" t="n">
        <v>12</v>
      </c>
      <c r="E9" s="2" t="n">
        <v>8</v>
      </c>
      <c r="F9" s="2">
        <f>IF(E9&lt;4,"Low Risk",IF(AND(E9&gt;4,E9&lt;6),"Medium Risk",IF(AND(E9&gt;6,E9&lt;=9),"High Risk","Review")))</f>
        <v/>
      </c>
      <c r="H9" s="18" t="n">
        <v>96</v>
      </c>
      <c r="I9" s="18" t="n">
        <v>65.2</v>
      </c>
      <c r="J9" s="18" t="n">
        <v>86.55</v>
      </c>
      <c r="K9" s="18" t="inlineStr">
        <is>
          <t>98.4%</t>
        </is>
      </c>
      <c r="L9" s="18" t="n">
        <v>3.4</v>
      </c>
      <c r="M9" s="19" t="inlineStr">
        <is>
          <t>YELLOW</t>
        </is>
      </c>
    </row>
    <row r="10">
      <c r="A10" s="2" t="n">
        <v>9</v>
      </c>
      <c r="B10" s="3" t="inlineStr">
        <is>
          <t>Loss of Cybersecurity Market Share</t>
        </is>
      </c>
      <c r="C10" s="3" t="inlineStr">
        <is>
          <t>Could competitors provide better cloud-native solutions than the company?</t>
        </is>
      </c>
      <c r="D10" s="2" t="n">
        <v>10</v>
      </c>
      <c r="E10" s="2" t="n">
        <v>7</v>
      </c>
      <c r="F10" s="2">
        <f>IF(E10&lt;4,"Low Risk",IF(AND(E10&gt;4,E10&lt;6),"Medium Risk",IF(AND(E10&gt;6,E10&lt;=9),"High Risk","Review")))</f>
        <v/>
      </c>
      <c r="H10" s="18" t="n">
        <v>70</v>
      </c>
      <c r="I10" s="18" t="n">
        <v>65.2</v>
      </c>
      <c r="J10" s="18" t="n">
        <v>86.55</v>
      </c>
      <c r="K10" s="18" t="inlineStr">
        <is>
          <t>98.4%</t>
        </is>
      </c>
      <c r="L10" s="18" t="n">
        <v>3.4</v>
      </c>
      <c r="M10" s="19" t="inlineStr">
        <is>
          <t>YELLOW</t>
        </is>
      </c>
    </row>
    <row r="11">
      <c r="A11" s="2" t="n">
        <v>10</v>
      </c>
      <c r="B11" s="3" t="inlineStr">
        <is>
          <t>Loss of Cybersecurity Market Share</t>
        </is>
      </c>
      <c r="C11" s="3" t="inlineStr">
        <is>
          <t>Could the company fail to respond quickly enough to changes in customer demand?</t>
        </is>
      </c>
      <c r="D11" s="2" t="n">
        <v>11</v>
      </c>
      <c r="E11" s="2" t="n">
        <v>7</v>
      </c>
      <c r="F11" s="2">
        <f>IF(E11&lt;4,"Low Risk",IF(AND(E11&gt;4,E11&lt;6),"Medium Risk",IF(AND(E11&gt;6,E11&lt;=9),"High Risk","Review")))</f>
        <v/>
      </c>
      <c r="H11" s="18" t="n">
        <v>77</v>
      </c>
      <c r="I11" s="18" t="n">
        <v>65.2</v>
      </c>
      <c r="J11" s="18" t="n">
        <v>86.55</v>
      </c>
      <c r="K11" s="18" t="inlineStr">
        <is>
          <t>98.4%</t>
        </is>
      </c>
      <c r="L11" s="18" t="n">
        <v>3.4</v>
      </c>
      <c r="M11" s="19" t="inlineStr">
        <is>
          <t>YELLOW</t>
        </is>
      </c>
    </row>
    <row r="12">
      <c r="A12" s="2" t="n">
        <v>11</v>
      </c>
      <c r="B12" s="3" t="inlineStr">
        <is>
          <t>Loss of Cybersecurity Market Share</t>
        </is>
      </c>
      <c r="C12" s="3" t="inlineStr">
        <is>
          <t>Could weak post-sale support push customers toward specialized firms?</t>
        </is>
      </c>
      <c r="D12" s="2" t="n">
        <v>8</v>
      </c>
      <c r="E12" s="2" t="n">
        <v>4</v>
      </c>
      <c r="F12" s="2">
        <f>IF(E12&lt;4,"Low Risk",IF(AND(E12&gt;4,E12&lt;6),"Medium Risk",IF(AND(E12&gt;6,E12&lt;=9),"High Risk","Review")))</f>
        <v/>
      </c>
      <c r="H12" s="18" t="n">
        <v>32</v>
      </c>
      <c r="I12" s="18" t="n">
        <v>65.2</v>
      </c>
      <c r="J12" s="18" t="n">
        <v>86.55</v>
      </c>
      <c r="K12" s="18" t="inlineStr">
        <is>
          <t>98.4%</t>
        </is>
      </c>
      <c r="L12" s="18" t="n">
        <v>3.4</v>
      </c>
      <c r="M12" s="19" t="inlineStr">
        <is>
          <t>YELLOW</t>
        </is>
      </c>
    </row>
    <row r="13">
      <c r="A13" s="2" t="n">
        <v>12</v>
      </c>
      <c r="B13" s="3" t="inlineStr">
        <is>
          <t>Loss of Cybersecurity Market Share</t>
        </is>
      </c>
      <c r="C13" s="3" t="inlineStr">
        <is>
          <t>Could declining customer satisfaction reduce contract renewals?</t>
        </is>
      </c>
      <c r="D13" s="2" t="n">
        <v>9</v>
      </c>
      <c r="E13" s="2" t="n">
        <v>6</v>
      </c>
      <c r="F13" s="2">
        <f>IF(E13&lt;4,"Low Risk",IF(AND(E13&gt;4,E13&lt;6),"Medium Risk",IF(AND(E13&gt;6,E13&lt;=9),"High Risk","Review")))</f>
        <v/>
      </c>
      <c r="H13" s="18" t="n">
        <v>54</v>
      </c>
      <c r="I13" s="18" t="n">
        <v>65.2</v>
      </c>
      <c r="J13" s="18" t="n">
        <v>86.55</v>
      </c>
      <c r="K13" s="18" t="inlineStr">
        <is>
          <t>98.4%</t>
        </is>
      </c>
      <c r="L13" s="18" t="n">
        <v>3.4</v>
      </c>
      <c r="M13" s="19" t="inlineStr">
        <is>
          <t>YELLOW</t>
        </is>
      </c>
    </row>
    <row r="14">
      <c r="A14" s="2" t="n">
        <v>13</v>
      </c>
      <c r="B14" s="3" t="inlineStr">
        <is>
          <t>Loss of Cybersecurity Market Share</t>
        </is>
      </c>
      <c r="C14" s="3" t="inlineStr">
        <is>
          <t>Could insufficient R&amp;D investment reduce future market competitiveness?</t>
        </is>
      </c>
      <c r="D14" s="2" t="n">
        <v>10</v>
      </c>
      <c r="E14" s="2" t="n">
        <v>8</v>
      </c>
      <c r="F14" s="2">
        <f>IF(E14&lt;4,"Low Risk",IF(AND(E14&gt;4,E14&lt;6),"Medium Risk",IF(AND(E14&gt;6,E14&lt;=9),"High Risk","Review")))</f>
        <v/>
      </c>
      <c r="H14" s="18" t="n">
        <v>80</v>
      </c>
      <c r="I14" s="18" t="n">
        <v>65.2</v>
      </c>
      <c r="J14" s="18" t="n">
        <v>86.55</v>
      </c>
      <c r="K14" s="18" t="inlineStr">
        <is>
          <t>98.4%</t>
        </is>
      </c>
      <c r="L14" s="18" t="n">
        <v>3.4</v>
      </c>
      <c r="M14" s="19" t="inlineStr">
        <is>
          <t>YELLOW</t>
        </is>
      </c>
    </row>
    <row r="15" ht="30" customHeight="1" s="15">
      <c r="A15" s="2" t="n">
        <v>14</v>
      </c>
      <c r="B15" s="3" t="inlineStr">
        <is>
          <t>Loss of Cybersecurity Market Share</t>
        </is>
      </c>
      <c r="C15" s="3" t="inlineStr">
        <is>
          <t>Could strategic partnerships by competitors make the company lose visibility in the market?</t>
        </is>
      </c>
      <c r="D15" s="2" t="n">
        <v>8</v>
      </c>
      <c r="E15" s="2" t="n">
        <v>5</v>
      </c>
      <c r="F15" s="2">
        <f>IF(E15&lt;4,"Low Risk",IF(AND(E15&gt;4,E15&lt;6),"Medium Risk",IF(AND(E15&gt;6,E15&lt;=9),"High Risk","Review")))</f>
        <v/>
      </c>
      <c r="H15" s="18" t="n">
        <v>40</v>
      </c>
      <c r="I15" s="18" t="n">
        <v>65.2</v>
      </c>
      <c r="J15" s="18" t="n">
        <v>86.55</v>
      </c>
      <c r="K15" s="18" t="inlineStr">
        <is>
          <t>98.4%</t>
        </is>
      </c>
      <c r="L15" s="18" t="n">
        <v>3.4</v>
      </c>
      <c r="M15" s="19" t="inlineStr">
        <is>
          <t>YELLOW</t>
        </is>
      </c>
    </row>
    <row r="16" ht="30" customHeight="1" s="15">
      <c r="A16" s="2" t="n">
        <v>15</v>
      </c>
      <c r="B16" s="3" t="inlineStr">
        <is>
          <t>Loss of Cybersecurity Market Share</t>
        </is>
      </c>
      <c r="C16" s="3" t="inlineStr">
        <is>
          <t>Could the company lose share in high-growth security segments such as endpoint or identity protection?</t>
        </is>
      </c>
      <c r="D16" s="2" t="n">
        <v>9</v>
      </c>
      <c r="E16" s="2" t="n">
        <v>7</v>
      </c>
      <c r="F16" s="2">
        <f>IF(E16&lt;4,"Low Risk",IF(AND(E16&gt;4,E16&lt;6),"Medium Risk",IF(AND(E16&gt;6,E16&lt;=9),"High Risk","Review")))</f>
        <v/>
      </c>
      <c r="H16" s="18" t="n">
        <v>63</v>
      </c>
      <c r="I16" s="18" t="n">
        <v>65.2</v>
      </c>
      <c r="J16" s="18" t="n">
        <v>86.55</v>
      </c>
      <c r="K16" s="18" t="inlineStr">
        <is>
          <t>98.4%</t>
        </is>
      </c>
      <c r="L16" s="18" t="n">
        <v>3.4</v>
      </c>
      <c r="M16" s="19" t="inlineStr">
        <is>
          <t>YELLOW</t>
        </is>
      </c>
    </row>
    <row r="17" ht="30" customHeight="1" s="15">
      <c r="A17" s="4" t="n">
        <v>16</v>
      </c>
      <c r="B17" s="5" t="inlineStr">
        <is>
          <t>Critical Data Breach During Platform Integration</t>
        </is>
      </c>
      <c r="C17" s="5" t="inlineStr">
        <is>
          <t>Could weak integration controls expose sensitive customer data?</t>
        </is>
      </c>
      <c r="D17" s="4" t="n">
        <v>10</v>
      </c>
      <c r="E17" s="4" t="n">
        <v>9</v>
      </c>
      <c r="F17" s="2">
        <f>IF(E17&lt;4,"Low Risk",IF(AND(E17&gt;4,E17&lt;6),"Medium Risk",IF(AND(E17&gt;6,E17&lt;=9),"High Risk","Review")))</f>
        <v/>
      </c>
      <c r="H17" s="18" t="n">
        <v>90</v>
      </c>
      <c r="I17" s="18" t="n">
        <v>74.58</v>
      </c>
      <c r="J17" s="18" t="n">
        <v>95.34999999999999</v>
      </c>
      <c r="K17" s="18" t="inlineStr">
        <is>
          <t>100.0%</t>
        </is>
      </c>
      <c r="L17" s="18" t="n">
        <v>4</v>
      </c>
      <c r="M17" s="20" t="inlineStr">
        <is>
          <t>RED</t>
        </is>
      </c>
    </row>
    <row r="18" ht="30" customHeight="1" s="15">
      <c r="A18" s="4" t="n">
        <v>17</v>
      </c>
      <c r="B18" s="5" t="inlineStr">
        <is>
          <t>Critical Data Breach During Platform Integration</t>
        </is>
      </c>
      <c r="C18" s="5" t="inlineStr">
        <is>
          <t>Could insecure APIs create entry points for cyber attackers?</t>
        </is>
      </c>
      <c r="D18" s="4" t="n">
        <v>11</v>
      </c>
      <c r="E18" s="4" t="n">
        <v>9</v>
      </c>
      <c r="F18" s="2">
        <f>IF(E18&lt;4,"Low Risk",IF(AND(E18&gt;4,E18&lt;6),"Medium Risk",IF(AND(E18&gt;6,E18&lt;=9),"High Risk","Review")))</f>
        <v/>
      </c>
      <c r="H18" s="18" t="n">
        <v>99</v>
      </c>
      <c r="I18" s="18" t="n">
        <v>74.58</v>
      </c>
      <c r="J18" s="18" t="n">
        <v>95.34999999999999</v>
      </c>
      <c r="K18" s="18" t="inlineStr">
        <is>
          <t>100.0%</t>
        </is>
      </c>
      <c r="L18" s="18" t="n">
        <v>4</v>
      </c>
      <c r="M18" s="20" t="inlineStr">
        <is>
          <t>RED</t>
        </is>
      </c>
    </row>
    <row r="19" ht="30" customHeight="1" s="15">
      <c r="A19" s="4" t="n">
        <v>18</v>
      </c>
      <c r="B19" s="5" t="inlineStr">
        <is>
          <t>Critical Data Breach During Platform Integration</t>
        </is>
      </c>
      <c r="C19" s="5" t="inlineStr">
        <is>
          <t>Could third-party integration vendors introduce hidden vulnerabilities?</t>
        </is>
      </c>
      <c r="D19" s="4" t="n">
        <v>9</v>
      </c>
      <c r="E19" s="4" t="n">
        <v>8</v>
      </c>
      <c r="F19" s="2">
        <f>IF(E19&lt;4,"Low Risk",IF(AND(E19&gt;4,E19&lt;6),"Medium Risk",IF(AND(E19&gt;6,E19&lt;=9),"High Risk","Review")))</f>
        <v/>
      </c>
      <c r="H19" s="18" t="n">
        <v>72</v>
      </c>
      <c r="I19" s="18" t="n">
        <v>74.58</v>
      </c>
      <c r="J19" s="18" t="n">
        <v>95.34999999999999</v>
      </c>
      <c r="K19" s="18" t="inlineStr">
        <is>
          <t>100.0%</t>
        </is>
      </c>
      <c r="L19" s="18" t="n">
        <v>4</v>
      </c>
      <c r="M19" s="20" t="inlineStr">
        <is>
          <t>RED</t>
        </is>
      </c>
    </row>
    <row r="20" ht="30" customHeight="1" s="15">
      <c r="A20" s="4" t="n">
        <v>19</v>
      </c>
      <c r="B20" s="5" t="inlineStr">
        <is>
          <t>Critical Data Breach During Platform Integration</t>
        </is>
      </c>
      <c r="C20" s="5" t="inlineStr">
        <is>
          <t>Could poor access management allow unauthorized users into integrated systems?</t>
        </is>
      </c>
      <c r="D20" s="4" t="n">
        <v>10</v>
      </c>
      <c r="E20" s="4" t="n">
        <v>9</v>
      </c>
      <c r="F20" s="2">
        <f>IF(E20&lt;4,"Low Risk",IF(AND(E20&gt;4,E20&lt;6),"Medium Risk",IF(AND(E20&gt;6,E20&lt;=9),"High Risk","Review")))</f>
        <v/>
      </c>
      <c r="H20" s="18" t="n">
        <v>90</v>
      </c>
      <c r="I20" s="18" t="n">
        <v>74.58</v>
      </c>
      <c r="J20" s="18" t="n">
        <v>95.34999999999999</v>
      </c>
      <c r="K20" s="18" t="inlineStr">
        <is>
          <t>100.0%</t>
        </is>
      </c>
      <c r="L20" s="18" t="n">
        <v>4</v>
      </c>
      <c r="M20" s="20" t="inlineStr">
        <is>
          <t>RED</t>
        </is>
      </c>
    </row>
    <row r="21" ht="30" customHeight="1" s="15">
      <c r="A21" s="4" t="n">
        <v>20</v>
      </c>
      <c r="B21" s="5" t="inlineStr">
        <is>
          <t>Critical Data Breach During Platform Integration</t>
        </is>
      </c>
      <c r="C21" s="5" t="inlineStr">
        <is>
          <t>Could encryption failures expose data during transfer between platforms?</t>
        </is>
      </c>
      <c r="D21" s="4" t="n">
        <v>8</v>
      </c>
      <c r="E21" s="4" t="n">
        <v>8</v>
      </c>
      <c r="F21" s="2">
        <f>IF(E21&lt;4,"Low Risk",IF(AND(E21&gt;4,E21&lt;6),"Medium Risk",IF(AND(E21&gt;6,E21&lt;=9),"High Risk","Review")))</f>
        <v/>
      </c>
      <c r="H21" s="18" t="n">
        <v>64</v>
      </c>
      <c r="I21" s="18" t="n">
        <v>74.58</v>
      </c>
      <c r="J21" s="18" t="n">
        <v>95.34999999999999</v>
      </c>
      <c r="K21" s="18" t="inlineStr">
        <is>
          <t>100.0%</t>
        </is>
      </c>
      <c r="L21" s="18" t="n">
        <v>4</v>
      </c>
      <c r="M21" s="20" t="inlineStr">
        <is>
          <t>RED</t>
        </is>
      </c>
    </row>
    <row r="22" ht="30" customHeight="1" s="15">
      <c r="A22" s="4" t="n">
        <v>21</v>
      </c>
      <c r="B22" s="5" t="inlineStr">
        <is>
          <t>Critical Data Breach During Platform Integration</t>
        </is>
      </c>
      <c r="C22" s="5" t="inlineStr">
        <is>
          <t>Could rushed implementation skip important security checks?</t>
        </is>
      </c>
      <c r="D22" s="4" t="n">
        <v>12</v>
      </c>
      <c r="E22" s="4" t="n">
        <v>8</v>
      </c>
      <c r="F22" s="2">
        <f>IF(E22&lt;4,"Low Risk",IF(AND(E22&gt;4,E22&lt;6),"Medium Risk",IF(AND(E22&gt;6,E22&lt;=9),"High Risk","Review")))</f>
        <v/>
      </c>
      <c r="H22" s="18" t="n">
        <v>96</v>
      </c>
      <c r="I22" s="18" t="n">
        <v>74.58</v>
      </c>
      <c r="J22" s="18" t="n">
        <v>95.34999999999999</v>
      </c>
      <c r="K22" s="18" t="inlineStr">
        <is>
          <t>100.0%</t>
        </is>
      </c>
      <c r="L22" s="18" t="n">
        <v>4</v>
      </c>
      <c r="M22" s="20" t="inlineStr">
        <is>
          <t>RED</t>
        </is>
      </c>
    </row>
    <row r="23" ht="30" customHeight="1" s="15">
      <c r="A23" s="4" t="n">
        <v>22</v>
      </c>
      <c r="B23" s="5" t="inlineStr">
        <is>
          <t>Critical Data Breach During Platform Integration</t>
        </is>
      </c>
      <c r="C23" s="5" t="inlineStr">
        <is>
          <t>Could misconfigured cloud settings lead to data exposure?</t>
        </is>
      </c>
      <c r="D23" s="4" t="n">
        <v>10</v>
      </c>
      <c r="E23" s="4" t="n">
        <v>9</v>
      </c>
      <c r="F23" s="2">
        <f>IF(E23&lt;4,"Low Risk",IF(AND(E23&gt;4,E23&lt;6),"Medium Risk",IF(AND(E23&gt;6,E23&lt;=9),"High Risk","Review")))</f>
        <v/>
      </c>
      <c r="H23" s="18" t="n">
        <v>90</v>
      </c>
      <c r="I23" s="18" t="n">
        <v>74.58</v>
      </c>
      <c r="J23" s="18" t="n">
        <v>95.34999999999999</v>
      </c>
      <c r="K23" s="18" t="inlineStr">
        <is>
          <t>100.0%</t>
        </is>
      </c>
      <c r="L23" s="18" t="n">
        <v>4</v>
      </c>
      <c r="M23" s="20" t="inlineStr">
        <is>
          <t>RED</t>
        </is>
      </c>
    </row>
    <row r="24" ht="30" customHeight="1" s="15">
      <c r="A24" s="4" t="n">
        <v>23</v>
      </c>
      <c r="B24" s="5" t="inlineStr">
        <is>
          <t>Critical Data Breach During Platform Integration</t>
        </is>
      </c>
      <c r="C24" s="5" t="inlineStr">
        <is>
          <t>Could poor employee awareness increase the chance of security mistakes during integration?</t>
        </is>
      </c>
      <c r="D24" s="4" t="n">
        <v>9</v>
      </c>
      <c r="E24" s="4" t="n">
        <v>6</v>
      </c>
      <c r="F24" s="2">
        <f>IF(E24&lt;4,"Low Risk",IF(AND(E24&gt;4,E24&lt;6),"Medium Risk",IF(AND(E24&gt;6,E24&lt;=9),"High Risk","Review")))</f>
        <v/>
      </c>
      <c r="H24" s="18" t="n">
        <v>54</v>
      </c>
      <c r="I24" s="18" t="n">
        <v>74.58</v>
      </c>
      <c r="J24" s="18" t="n">
        <v>95.34999999999999</v>
      </c>
      <c r="K24" s="18" t="inlineStr">
        <is>
          <t>100.0%</t>
        </is>
      </c>
      <c r="L24" s="18" t="n">
        <v>4</v>
      </c>
      <c r="M24" s="20" t="inlineStr">
        <is>
          <t>RED</t>
        </is>
      </c>
    </row>
    <row r="25" ht="30" customHeight="1" s="15">
      <c r="A25" s="4" t="n">
        <v>24</v>
      </c>
      <c r="B25" s="5" t="inlineStr">
        <is>
          <t>Critical Data Breach During Platform Integration</t>
        </is>
      </c>
      <c r="C25" s="5" t="inlineStr">
        <is>
          <t>Could delayed breach detection worsen damage and response costs?</t>
        </is>
      </c>
      <c r="D25" s="4" t="n">
        <v>8</v>
      </c>
      <c r="E25" s="4" t="n">
        <v>9</v>
      </c>
      <c r="F25" s="2">
        <f>IF(E25&lt;4,"Low Risk",IF(AND(E25&gt;4,E25&lt;6),"Medium Risk",IF(AND(E25&gt;6,E25&lt;=9),"High Risk","Review")))</f>
        <v/>
      </c>
      <c r="H25" s="18" t="n">
        <v>72</v>
      </c>
      <c r="I25" s="18" t="n">
        <v>74.58</v>
      </c>
      <c r="J25" s="18" t="n">
        <v>95.34999999999999</v>
      </c>
      <c r="K25" s="18" t="inlineStr">
        <is>
          <t>100.0%</t>
        </is>
      </c>
      <c r="L25" s="18" t="n">
        <v>4</v>
      </c>
      <c r="M25" s="20" t="inlineStr">
        <is>
          <t>RED</t>
        </is>
      </c>
    </row>
    <row r="26" ht="30" customHeight="1" s="15">
      <c r="A26" s="4" t="n">
        <v>25</v>
      </c>
      <c r="B26" s="5" t="inlineStr">
        <is>
          <t>Critical Data Breach During Platform Integration</t>
        </is>
      </c>
      <c r="C26" s="5" t="inlineStr">
        <is>
          <t>Could insufficient penetration testing leave critical weaknesses unresolved?</t>
        </is>
      </c>
      <c r="D26" s="4" t="n">
        <v>9</v>
      </c>
      <c r="E26" s="4" t="n">
        <v>8</v>
      </c>
      <c r="F26" s="2">
        <f>IF(E26&lt;4,"Low Risk",IF(AND(E26&gt;4,E26&lt;6),"Medium Risk",IF(AND(E26&gt;6,E26&lt;=9),"High Risk","Review")))</f>
        <v/>
      </c>
      <c r="H26" s="18" t="n">
        <v>72</v>
      </c>
      <c r="I26" s="18" t="n">
        <v>74.58</v>
      </c>
      <c r="J26" s="18" t="n">
        <v>95.34999999999999</v>
      </c>
      <c r="K26" s="18" t="inlineStr">
        <is>
          <t>100.0%</t>
        </is>
      </c>
      <c r="L26" s="18" t="n">
        <v>4</v>
      </c>
      <c r="M26" s="20" t="inlineStr">
        <is>
          <t>RED</t>
        </is>
      </c>
    </row>
    <row r="27" ht="30" customHeight="1" s="15">
      <c r="A27" s="4" t="n">
        <v>26</v>
      </c>
      <c r="B27" s="5" t="inlineStr">
        <is>
          <t>Critical Data Breach During Platform Integration</t>
        </is>
      </c>
      <c r="C27" s="5" t="inlineStr">
        <is>
          <t>Could a breach during integration trigger regulatory penalties?</t>
        </is>
      </c>
      <c r="D27" s="4" t="n">
        <v>8</v>
      </c>
      <c r="E27" s="4" t="n">
        <v>9</v>
      </c>
      <c r="F27" s="2">
        <f>IF(E27&lt;4,"Low Risk",IF(AND(E27&gt;4,E27&lt;6),"Medium Risk",IF(AND(E27&gt;6,E27&lt;=9),"High Risk","Review")))</f>
        <v/>
      </c>
      <c r="H27" s="18" t="n">
        <v>72</v>
      </c>
      <c r="I27" s="18" t="n">
        <v>74.58</v>
      </c>
      <c r="J27" s="18" t="n">
        <v>95.34999999999999</v>
      </c>
      <c r="K27" s="18" t="inlineStr">
        <is>
          <t>100.0%</t>
        </is>
      </c>
      <c r="L27" s="18" t="n">
        <v>4</v>
      </c>
      <c r="M27" s="20" t="inlineStr">
        <is>
          <t>RED</t>
        </is>
      </c>
    </row>
    <row r="28" ht="30" customHeight="1" s="15">
      <c r="A28" s="4" t="n">
        <v>27</v>
      </c>
      <c r="B28" s="5" t="inlineStr">
        <is>
          <t>Critical Data Breach During Platform Integration</t>
        </is>
      </c>
      <c r="C28" s="5" t="inlineStr">
        <is>
          <t>Could a platform-integration breach damage customer trust and brand reputation?</t>
        </is>
      </c>
      <c r="D28" s="4" t="n">
        <v>9</v>
      </c>
      <c r="E28" s="4" t="n">
        <v>9</v>
      </c>
      <c r="F28" s="2">
        <f>IF(E28&lt;4,"Low Risk",IF(AND(E28&gt;4,E28&lt;6),"Medium Risk",IF(AND(E28&gt;6,E28&lt;=9),"High Risk","Review")))</f>
        <v/>
      </c>
      <c r="H28" s="18" t="n">
        <v>81</v>
      </c>
      <c r="I28" s="18" t="n">
        <v>74.58</v>
      </c>
      <c r="J28" s="18" t="n">
        <v>95.34999999999999</v>
      </c>
      <c r="K28" s="18" t="inlineStr">
        <is>
          <t>100.0%</t>
        </is>
      </c>
      <c r="L28" s="18" t="n">
        <v>4</v>
      </c>
      <c r="M28" s="20" t="inlineStr">
        <is>
          <t>RED</t>
        </is>
      </c>
    </row>
    <row r="29" ht="30" customHeight="1" s="15">
      <c r="A29" s="4" t="n">
        <v>28</v>
      </c>
      <c r="B29" s="5" t="inlineStr">
        <is>
          <t>Critical Data Breach During Platform Integration</t>
        </is>
      </c>
      <c r="C29" s="5" t="inlineStr">
        <is>
          <t>Could poor incident response readiness extend system downtime after a breach?</t>
        </is>
      </c>
      <c r="D29" s="4" t="n">
        <v>8</v>
      </c>
      <c r="E29" s="4" t="n">
        <v>8</v>
      </c>
      <c r="F29" s="2">
        <f>IF(E29&lt;4,"Low Risk",IF(AND(E29&gt;4,E29&lt;6),"Medium Risk",IF(AND(E29&gt;6,E29&lt;=9),"High Risk","Review")))</f>
        <v/>
      </c>
      <c r="H29" s="18" t="n">
        <v>64</v>
      </c>
      <c r="I29" s="18" t="n">
        <v>74.58</v>
      </c>
      <c r="J29" s="18" t="n">
        <v>95.34999999999999</v>
      </c>
      <c r="K29" s="18" t="inlineStr">
        <is>
          <t>100.0%</t>
        </is>
      </c>
      <c r="L29" s="18" t="n">
        <v>4</v>
      </c>
      <c r="M29" s="20" t="inlineStr">
        <is>
          <t>RED</t>
        </is>
      </c>
    </row>
    <row r="30" ht="30" customHeight="1" s="15">
      <c r="A30" s="4" t="n">
        <v>29</v>
      </c>
      <c r="B30" s="5" t="inlineStr">
        <is>
          <t>Critical Data Breach During Platform Integration</t>
        </is>
      </c>
      <c r="C30" s="5" t="inlineStr">
        <is>
          <t>Could data mapping errors expose confidential records to the wrong users?</t>
        </is>
      </c>
      <c r="D30" s="4" t="n">
        <v>7</v>
      </c>
      <c r="E30" s="4" t="n">
        <v>7</v>
      </c>
      <c r="F30" s="2">
        <f>IF(E30&lt;4,"Low Risk",IF(AND(E30&gt;4,E30&lt;6),"Medium Risk",IF(AND(E30&gt;6,E30&lt;=9),"High Risk","Review")))</f>
        <v/>
      </c>
      <c r="H30" s="18" t="n">
        <v>49</v>
      </c>
      <c r="I30" s="18" t="n">
        <v>74.58</v>
      </c>
      <c r="J30" s="18" t="n">
        <v>95.34999999999999</v>
      </c>
      <c r="K30" s="18" t="inlineStr">
        <is>
          <t>100.0%</t>
        </is>
      </c>
      <c r="L30" s="18" t="n">
        <v>4</v>
      </c>
      <c r="M30" s="20" t="inlineStr">
        <is>
          <t>RED</t>
        </is>
      </c>
    </row>
    <row r="31" ht="30" customHeight="1" s="15">
      <c r="A31" s="4" t="n">
        <v>30</v>
      </c>
      <c r="B31" s="5" t="inlineStr">
        <is>
          <t>Critical Data Breach During Platform Integration</t>
        </is>
      </c>
      <c r="C31" s="5" t="inlineStr">
        <is>
          <t>Could legacy systems create security gaps during integration with modern platforms?</t>
        </is>
      </c>
      <c r="D31" s="4" t="n">
        <v>9</v>
      </c>
      <c r="E31" s="4" t="n">
        <v>8</v>
      </c>
      <c r="F31" s="2">
        <f>IF(E31&lt;4,"Low Risk",IF(AND(E31&gt;4,E31&lt;6),"Medium Risk",IF(AND(E31&gt;6,E31&lt;=9),"High Risk","Review")))</f>
        <v/>
      </c>
      <c r="H31" s="18" t="n">
        <v>72</v>
      </c>
      <c r="I31" s="18" t="n">
        <v>74.58</v>
      </c>
      <c r="J31" s="18" t="n">
        <v>95.34999999999999</v>
      </c>
      <c r="K31" s="18" t="inlineStr">
        <is>
          <t>100.0%</t>
        </is>
      </c>
      <c r="L31" s="18" t="n">
        <v>4</v>
      </c>
      <c r="M31" s="20" t="inlineStr">
        <is>
          <t>RED</t>
        </is>
      </c>
    </row>
    <row r="32" ht="45" customHeight="1" s="15">
      <c r="A32" s="6" t="n">
        <v>31</v>
      </c>
      <c r="B32" s="7" t="inlineStr">
        <is>
          <t>Accelerated Enterprise Customer Acquisition Through Bundled Security Offerings</t>
        </is>
      </c>
      <c r="C32" s="7" t="inlineStr">
        <is>
          <t>Could bundled security offerings attract new enterprise customers more quickly than expected?</t>
        </is>
      </c>
      <c r="D32" s="6" t="n">
        <v>11</v>
      </c>
      <c r="E32" s="6" t="n">
        <v>8</v>
      </c>
      <c r="F32" s="2">
        <f>IF(E32&lt;4,"Low Risk",IF(AND(E32&gt;4,E32&lt;6),"Medium Risk",IF(AND(E32&gt;6,E32&lt;=9),"High Risk","Review")))</f>
        <v/>
      </c>
      <c r="H32" s="18" t="n">
        <v>88</v>
      </c>
      <c r="I32" s="18" t="n">
        <v>55.37</v>
      </c>
      <c r="J32" s="18" t="n">
        <v>79.01000000000001</v>
      </c>
      <c r="K32" s="18" t="inlineStr">
        <is>
          <t>86.5%</t>
        </is>
      </c>
      <c r="L32" s="18" t="n">
        <v>2.4</v>
      </c>
      <c r="M32" s="21" t="inlineStr">
        <is>
          <t>GREEN</t>
        </is>
      </c>
    </row>
    <row r="33" ht="45" customHeight="1" s="15">
      <c r="A33" s="6" t="n">
        <v>32</v>
      </c>
      <c r="B33" s="7" t="inlineStr">
        <is>
          <t>Accelerated Enterprise Customer Acquisition Through Bundled Security Offerings</t>
        </is>
      </c>
      <c r="C33" s="7" t="inlineStr">
        <is>
          <t>Could bundled pricing improve the company’s competitive advantage in the enterprise market?</t>
        </is>
      </c>
      <c r="D33" s="6" t="n">
        <v>10</v>
      </c>
      <c r="E33" s="6" t="n">
        <v>7</v>
      </c>
      <c r="F33" s="2">
        <f>IF(E33&lt;4,"Low Risk",IF(AND(E33&gt;4,E33&lt;6),"Medium Risk",IF(AND(E33&gt;6,E33&lt;=9),"High Risk","Review")))</f>
        <v/>
      </c>
      <c r="H33" s="18" t="n">
        <v>70</v>
      </c>
      <c r="I33" s="18" t="n">
        <v>55.37</v>
      </c>
      <c r="J33" s="18" t="n">
        <v>79.01000000000001</v>
      </c>
      <c r="K33" s="18" t="inlineStr">
        <is>
          <t>86.5%</t>
        </is>
      </c>
      <c r="L33" s="18" t="n">
        <v>2.4</v>
      </c>
      <c r="M33" s="21" t="inlineStr">
        <is>
          <t>GREEN</t>
        </is>
      </c>
    </row>
    <row r="34" ht="45" customHeight="1" s="15">
      <c r="A34" s="6" t="n">
        <v>33</v>
      </c>
      <c r="B34" s="7" t="inlineStr">
        <is>
          <t>Accelerated Enterprise Customer Acquisition Through Bundled Security Offerings</t>
        </is>
      </c>
      <c r="C34" s="7" t="inlineStr">
        <is>
          <t>Could strong demand for bundled offerings increase revenue significantly?</t>
        </is>
      </c>
      <c r="D34" s="6" t="n">
        <v>11</v>
      </c>
      <c r="E34" s="6" t="n">
        <v>8</v>
      </c>
      <c r="F34" s="2">
        <f>IF(E34&lt;4,"Low Risk",IF(AND(E34&gt;4,E34&lt;6),"Medium Risk",IF(AND(E34&gt;6,E34&lt;=9),"High Risk","Review")))</f>
        <v/>
      </c>
      <c r="H34" s="18" t="n">
        <v>88</v>
      </c>
      <c r="I34" s="18" t="n">
        <v>55.37</v>
      </c>
      <c r="J34" s="18" t="n">
        <v>79.01000000000001</v>
      </c>
      <c r="K34" s="18" t="inlineStr">
        <is>
          <t>86.5%</t>
        </is>
      </c>
      <c r="L34" s="18" t="n">
        <v>2.4</v>
      </c>
      <c r="M34" s="21" t="inlineStr">
        <is>
          <t>GREEN</t>
        </is>
      </c>
    </row>
    <row r="35" ht="45" customHeight="1" s="15">
      <c r="A35" s="6" t="n">
        <v>34</v>
      </c>
      <c r="B35" s="7" t="inlineStr">
        <is>
          <t>Accelerated Enterprise Customer Acquisition Through Bundled Security Offerings</t>
        </is>
      </c>
      <c r="C35" s="7" t="inlineStr">
        <is>
          <t>Could bundled solutions improve long-term customer retention?</t>
        </is>
      </c>
      <c r="D35" s="6" t="n">
        <v>9</v>
      </c>
      <c r="E35" s="6" t="n">
        <v>6</v>
      </c>
      <c r="F35" s="2" t="inlineStr">
        <is>
          <t>Medium Risk</t>
        </is>
      </c>
      <c r="H35" s="18" t="n">
        <v>54</v>
      </c>
      <c r="I35" s="18" t="n">
        <v>55.37</v>
      </c>
      <c r="J35" s="18" t="n">
        <v>79.01000000000001</v>
      </c>
      <c r="K35" s="18" t="inlineStr">
        <is>
          <t>86.5%</t>
        </is>
      </c>
      <c r="L35" s="18" t="n">
        <v>2.4</v>
      </c>
      <c r="M35" s="21" t="inlineStr">
        <is>
          <t>GREEN</t>
        </is>
      </c>
    </row>
    <row r="36" ht="45" customHeight="1" s="15">
      <c r="A36" s="6" t="n">
        <v>35</v>
      </c>
      <c r="B36" s="7" t="inlineStr">
        <is>
          <t>Accelerated Enterprise Customer Acquisition Through Bundled Security Offerings</t>
        </is>
      </c>
      <c r="C36" s="7" t="inlineStr">
        <is>
          <t>Could rapid growth in enterprise clients strain onboarding capacity?</t>
        </is>
      </c>
      <c r="D36" s="6" t="n">
        <v>8</v>
      </c>
      <c r="E36" s="6" t="n">
        <v>5</v>
      </c>
      <c r="F36" s="2">
        <f>IF(E36&lt;4,"Low Risk",IF(AND(E36&gt;4,E36&lt;6),"Medium Risk",IF(AND(E36&gt;6,E36&lt;=9),"High Risk","Review")))</f>
        <v/>
      </c>
      <c r="H36" s="18" t="n">
        <v>40</v>
      </c>
      <c r="I36" s="18" t="n">
        <v>55.37</v>
      </c>
      <c r="J36" s="18" t="n">
        <v>79.01000000000001</v>
      </c>
      <c r="K36" s="18" t="inlineStr">
        <is>
          <t>86.5%</t>
        </is>
      </c>
      <c r="L36" s="18" t="n">
        <v>2.4</v>
      </c>
      <c r="M36" s="21" t="inlineStr">
        <is>
          <t>GREEN</t>
        </is>
      </c>
    </row>
    <row r="37" ht="45" customHeight="1" s="15">
      <c r="A37" s="6" t="n">
        <v>36</v>
      </c>
      <c r="B37" s="7" t="inlineStr">
        <is>
          <t>Accelerated Enterprise Customer Acquisition Through Bundled Security Offerings</t>
        </is>
      </c>
      <c r="C37" s="7" t="inlineStr">
        <is>
          <t>Could the company struggle to support too many new clients at once?</t>
        </is>
      </c>
      <c r="D37" s="6" t="n">
        <v>8</v>
      </c>
      <c r="E37" s="6" t="n">
        <v>6</v>
      </c>
      <c r="F37" s="2" t="inlineStr">
        <is>
          <t>Medium Risk</t>
        </is>
      </c>
      <c r="H37" s="18" t="n">
        <v>48</v>
      </c>
      <c r="I37" s="18" t="n">
        <v>55.37</v>
      </c>
      <c r="J37" s="18" t="n">
        <v>79.01000000000001</v>
      </c>
      <c r="K37" s="18" t="inlineStr">
        <is>
          <t>86.5%</t>
        </is>
      </c>
      <c r="L37" s="18" t="n">
        <v>2.4</v>
      </c>
      <c r="M37" s="21" t="inlineStr">
        <is>
          <t>GREEN</t>
        </is>
      </c>
    </row>
    <row r="38" ht="45" customHeight="1" s="15">
      <c r="A38" s="6" t="n">
        <v>37</v>
      </c>
      <c r="B38" s="7" t="inlineStr">
        <is>
          <t>Accelerated Enterprise Customer Acquisition Through Bundled Security Offerings</t>
        </is>
      </c>
      <c r="C38" s="7" t="inlineStr">
        <is>
          <t>Could weak sales execution reduce the success of bundled offerings?</t>
        </is>
      </c>
      <c r="D38" s="6" t="n">
        <v>7</v>
      </c>
      <c r="E38" s="6" t="n">
        <v>4</v>
      </c>
      <c r="F38" s="2" t="inlineStr">
        <is>
          <t>Medium Risk</t>
        </is>
      </c>
      <c r="H38" s="18" t="n">
        <v>28</v>
      </c>
      <c r="I38" s="18" t="n">
        <v>55.37</v>
      </c>
      <c r="J38" s="18" t="n">
        <v>79.01000000000001</v>
      </c>
      <c r="K38" s="18" t="inlineStr">
        <is>
          <t>86.5%</t>
        </is>
      </c>
      <c r="L38" s="18" t="n">
        <v>2.4</v>
      </c>
      <c r="M38" s="21" t="inlineStr">
        <is>
          <t>GREEN</t>
        </is>
      </c>
    </row>
    <row r="39" ht="45" customHeight="1" s="15">
      <c r="A39" s="6" t="n">
        <v>38</v>
      </c>
      <c r="B39" s="7" t="inlineStr">
        <is>
          <t>Accelerated Enterprise Customer Acquisition Through Bundled Security Offerings</t>
        </is>
      </c>
      <c r="C39" s="7" t="inlineStr">
        <is>
          <t>Could poor bundle design make the offering less attractive to target clients?</t>
        </is>
      </c>
      <c r="D39" s="6" t="n">
        <v>8</v>
      </c>
      <c r="E39" s="6" t="n">
        <v>4</v>
      </c>
      <c r="F39" s="2" t="inlineStr">
        <is>
          <t>Medium Risk</t>
        </is>
      </c>
      <c r="H39" s="18" t="n">
        <v>32</v>
      </c>
      <c r="I39" s="18" t="n">
        <v>55.37</v>
      </c>
      <c r="J39" s="18" t="n">
        <v>79.01000000000001</v>
      </c>
      <c r="K39" s="18" t="inlineStr">
        <is>
          <t>86.5%</t>
        </is>
      </c>
      <c r="L39" s="18" t="n">
        <v>2.4</v>
      </c>
      <c r="M39" s="21" t="inlineStr">
        <is>
          <t>GREEN</t>
        </is>
      </c>
    </row>
    <row r="40" ht="45" customHeight="1" s="15">
      <c r="A40" s="6" t="n">
        <v>39</v>
      </c>
      <c r="B40" s="7" t="inlineStr">
        <is>
          <t>Accelerated Enterprise Customer Acquisition Through Bundled Security Offerings</t>
        </is>
      </c>
      <c r="C40" s="7" t="inlineStr">
        <is>
          <t>Could rapid enterprise expansion create service quality problems?</t>
        </is>
      </c>
      <c r="D40" s="6" t="n">
        <v>9</v>
      </c>
      <c r="E40" s="6" t="n">
        <v>6</v>
      </c>
      <c r="F40" s="2" t="inlineStr">
        <is>
          <t>Medium Risk</t>
        </is>
      </c>
      <c r="H40" s="18" t="n">
        <v>54</v>
      </c>
      <c r="I40" s="18" t="n">
        <v>55.37</v>
      </c>
      <c r="J40" s="18" t="n">
        <v>79.01000000000001</v>
      </c>
      <c r="K40" s="18" t="inlineStr">
        <is>
          <t>86.5%</t>
        </is>
      </c>
      <c r="L40" s="18" t="n">
        <v>2.4</v>
      </c>
      <c r="M40" s="21" t="inlineStr">
        <is>
          <t>GREEN</t>
        </is>
      </c>
    </row>
    <row r="41" ht="45" customHeight="1" s="15">
      <c r="A41" s="6" t="n">
        <v>40</v>
      </c>
      <c r="B41" s="7" t="inlineStr">
        <is>
          <t>Accelerated Enterprise Customer Acquisition Through Bundled Security Offerings</t>
        </is>
      </c>
      <c r="C41" s="7" t="inlineStr">
        <is>
          <t>Could successful bundled offerings strengthen market share and brand position?</t>
        </is>
      </c>
      <c r="D41" s="6" t="n">
        <v>10</v>
      </c>
      <c r="E41" s="6" t="n">
        <v>7</v>
      </c>
      <c r="F41" s="2">
        <f>IF(E41&lt;4,"Low Risk",IF(AND(E41&gt;4,E41&lt;6),"Medium Risk",IF(AND(E41&gt;6,E41&lt;=9),"High Risk","Review")))</f>
        <v/>
      </c>
      <c r="H41" s="18" t="n">
        <v>70</v>
      </c>
      <c r="I41" s="18" t="n">
        <v>55.37</v>
      </c>
      <c r="J41" s="18" t="n">
        <v>79.01000000000001</v>
      </c>
      <c r="K41" s="18" t="inlineStr">
        <is>
          <t>86.5%</t>
        </is>
      </c>
      <c r="L41" s="18" t="n">
        <v>2.4</v>
      </c>
      <c r="M41" s="21" t="inlineStr">
        <is>
          <t>GREEN</t>
        </is>
      </c>
    </row>
  </sheetData>
  <autoFilter ref="A1:F41"/>
  <conditionalFormatting sqref="F2:F41">
    <cfRule type="cellIs" priority="1" operator="equal" dxfId="3">
      <formula>"High Risk"</formula>
    </cfRule>
    <cfRule type="cellIs" priority="2" operator="equal" dxfId="2">
      <formula>"Medium Risk"</formula>
    </cfRule>
    <cfRule type="cellIs" priority="3" operator="equal" dxfId="1">
      <formula>"Low Risk"</formula>
    </cfRule>
    <cfRule type="cellIs" priority="4" operator="equal" dxfId="0">
      <formula>"Review"</formula>
    </cfRule>
  </conditionalFormatting>
  <dataValidations count="2">
    <dataValidation sqref="D2:D41" showDropDown="0" showInputMessage="0" showErrorMessage="0" allowBlank="0" type="whole">
      <formula1>1</formula1>
      <formula2>15</formula2>
    </dataValidation>
    <dataValidation sqref="E2:E41" showDropDown="0" showInputMessage="0" showErrorMessage="0" allowBlank="0" type="whole">
      <formula1>1</formula1>
      <formula2>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opLeftCell="A24" workbookViewId="0">
      <selection activeCell="D10" sqref="D10"/>
    </sheetView>
  </sheetViews>
  <sheetFormatPr baseColWidth="8" defaultRowHeight="15"/>
  <cols>
    <col width="18" customWidth="1" style="15" min="1" max="2"/>
    <col width="24" customWidth="1" style="15" min="3" max="3"/>
    <col width="42" customWidth="1" style="15" min="4" max="4"/>
  </cols>
  <sheetData>
    <row r="1" ht="17.25" customHeight="1" s="15">
      <c r="A1" s="16" t="inlineStr">
        <is>
          <t>Scoring Guide</t>
        </is>
      </c>
    </row>
    <row r="2">
      <c r="A2" s="8" t="inlineStr">
        <is>
          <t>Field</t>
        </is>
      </c>
      <c r="B2" s="8" t="inlineStr">
        <is>
          <t>Allowed Range</t>
        </is>
      </c>
      <c r="C2" s="8" t="inlineStr">
        <is>
          <t>Classification Rule</t>
        </is>
      </c>
      <c r="D2" s="8" t="inlineStr">
        <is>
          <t>Notes</t>
        </is>
      </c>
    </row>
    <row r="3">
      <c r="A3" s="9" t="inlineStr">
        <is>
          <t>Likelihood Score</t>
        </is>
      </c>
      <c r="B3" s="9" t="inlineStr">
        <is>
          <t>1–15</t>
        </is>
      </c>
      <c r="C3" s="9" t="inlineStr">
        <is>
          <t>Higher = more likely</t>
        </is>
      </c>
      <c r="D3" s="9" t="inlineStr">
        <is>
          <t>Used for prioritization and risk score</t>
        </is>
      </c>
    </row>
    <row r="4">
      <c r="A4" s="9" t="inlineStr">
        <is>
          <t>Impact Score</t>
        </is>
      </c>
      <c r="B4" s="9" t="inlineStr">
        <is>
          <t>1–9</t>
        </is>
      </c>
      <c r="C4" s="9" t="inlineStr">
        <is>
          <t>Higher = greater impact</t>
        </is>
      </c>
      <c r="D4" s="9" t="inlineStr">
        <is>
          <t>Used for risk level classification</t>
        </is>
      </c>
    </row>
    <row r="5">
      <c r="A5" s="9" t="n"/>
      <c r="B5" s="9" t="n"/>
      <c r="C5" s="9" t="n"/>
      <c r="D5" s="9" t="n"/>
    </row>
    <row r="6">
      <c r="A6" s="9" t="inlineStr">
        <is>
          <t>Impact Score</t>
        </is>
      </c>
      <c r="B6" s="9" t="inlineStr">
        <is>
          <t>Risk Level</t>
        </is>
      </c>
      <c r="C6" s="9" t="n"/>
      <c r="D6" s="9" t="n"/>
    </row>
    <row r="7">
      <c r="A7" s="9" t="inlineStr">
        <is>
          <t>&lt; 3</t>
        </is>
      </c>
      <c r="B7" s="10" t="inlineStr">
        <is>
          <t>Low Risk</t>
        </is>
      </c>
      <c r="C7" s="9" t="n"/>
      <c r="D7" s="9" t="n"/>
    </row>
    <row r="8">
      <c r="A8" s="9" t="inlineStr">
        <is>
          <t>&gt; 3 and &lt; 5</t>
        </is>
      </c>
      <c r="B8" s="11" t="inlineStr">
        <is>
          <t>Medium Risk</t>
        </is>
      </c>
      <c r="C8" s="9" t="n"/>
      <c r="D8" s="9" t="n"/>
    </row>
    <row r="9">
      <c r="A9" s="9" t="inlineStr">
        <is>
          <t>&gt; 5 and &lt;= 9</t>
        </is>
      </c>
      <c r="B9" s="12" t="inlineStr">
        <is>
          <t>High Risk</t>
        </is>
      </c>
      <c r="C9" s="9" t="n"/>
      <c r="D9" s="9" t="n"/>
    </row>
    <row r="10">
      <c r="A10" s="9" t="n"/>
      <c r="B10" s="13" t="inlineStr">
        <is>
          <t>Review</t>
        </is>
      </c>
      <c r="C10" s="9" t="n"/>
      <c r="D10" s="9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2026-03-08T01:15:41Z</dcterms:created>
  <dcterms:modified xmlns:dcterms="http://purl.org/dc/terms/" xmlns:xsi="http://www.w3.org/2001/XMLSchema-instance" xsi:type="dcterms:W3CDTF">2026-03-19T00:01:51Z</dcterms:modified>
  <cp:lastModifiedBy>yang dan</cp:lastModifiedBy>
</cp:coreProperties>
</file>